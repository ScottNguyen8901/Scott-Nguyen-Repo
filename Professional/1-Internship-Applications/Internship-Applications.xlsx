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cott\Documents\Scott-Nguyen-Repo\Professional\1-Internship-Applications\"/>
    </mc:Choice>
  </mc:AlternateContent>
  <xr:revisionPtr revIDLastSave="0" documentId="13_ncr:1_{3A9CA7E2-F8EF-4888-AD87-E928CB268F26}" xr6:coauthVersionLast="47" xr6:coauthVersionMax="47" xr10:uidLastSave="{00000000-0000-0000-0000-000000000000}"/>
  <bookViews>
    <workbookView xWindow="-110" yWindow="-110" windowWidth="23260" windowHeight="14860" activeTab="4" xr2:uid="{EE9BE8F8-8993-434B-83DF-83945B9CA987}"/>
  </bookViews>
  <sheets>
    <sheet name="Fall-2025" sheetId="1" r:id="rId1"/>
    <sheet name="Spring-2026" sheetId="2" r:id="rId2"/>
    <sheet name="Summer-2026" sheetId="3" r:id="rId3"/>
    <sheet name="AFRL-Summer-2026" sheetId="5" r:id="rId4"/>
    <sheet name="Misc"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I2" i="3"/>
  <c r="H6" i="3"/>
  <c r="I4" i="3"/>
  <c r="H4" i="3"/>
  <c r="I2" i="2"/>
  <c r="I4" i="2"/>
  <c r="H6" i="2"/>
  <c r="H4" i="2"/>
  <c r="H2" i="2"/>
  <c r="H4" i="1"/>
  <c r="I4" i="1"/>
  <c r="H6" i="1"/>
  <c r="I2" i="1"/>
  <c r="H2" i="1"/>
</calcChain>
</file>

<file path=xl/sharedStrings.xml><?xml version="1.0" encoding="utf-8"?>
<sst xmlns="http://schemas.openxmlformats.org/spreadsheetml/2006/main" count="244" uniqueCount="156">
  <si>
    <t>Company</t>
  </si>
  <si>
    <t>Applied</t>
  </si>
  <si>
    <t>Interview</t>
  </si>
  <si>
    <t>Offer</t>
  </si>
  <si>
    <t>Kodiak Controls</t>
  </si>
  <si>
    <t>Kodiak Motion Planning</t>
  </si>
  <si>
    <t>Figure Controls</t>
  </si>
  <si>
    <t>Audi Controls</t>
  </si>
  <si>
    <t>MIT Lincoln Laboratories Co-Op</t>
  </si>
  <si>
    <t>Role</t>
  </si>
  <si>
    <t>Date Applied</t>
  </si>
  <si>
    <t>Acceptance</t>
  </si>
  <si>
    <t>Mitsubishi Electric Reserach Laboratories</t>
  </si>
  <si>
    <t>GNC Simulator</t>
  </si>
  <si>
    <t>SpaceX</t>
  </si>
  <si>
    <t>Engineer</t>
  </si>
  <si>
    <t>Astranis</t>
  </si>
  <si>
    <t>GNC Engineer</t>
  </si>
  <si>
    <t>Blue Origin</t>
  </si>
  <si>
    <t>Space Kinetic</t>
  </si>
  <si>
    <t>Aerospace/Mechnical Engineer</t>
  </si>
  <si>
    <t>Vast</t>
  </si>
  <si>
    <t>Mechanical/Aerospace Engineer</t>
  </si>
  <si>
    <t>Zipline</t>
  </si>
  <si>
    <t>Control &amp; Dynamics Intern</t>
  </si>
  <si>
    <t>Simulation Engineering Intern</t>
  </si>
  <si>
    <t>Draper Laboratories</t>
  </si>
  <si>
    <t>System Concepts and Design Fall 2025 Co-op</t>
  </si>
  <si>
    <t>Firefly Aerospace</t>
  </si>
  <si>
    <t>Software Engineering Intern</t>
  </si>
  <si>
    <t>Orbital Operations</t>
  </si>
  <si>
    <t>Engineering Intern</t>
  </si>
  <si>
    <t>Reflect Orbital</t>
  </si>
  <si>
    <t>Astrion</t>
  </si>
  <si>
    <t>Tesla</t>
  </si>
  <si>
    <t>Controls Engineer, Energy Engineering</t>
  </si>
  <si>
    <t>Motor Controls Engineer, Vehicle Controlss</t>
  </si>
  <si>
    <t>Software Controls Engineer, Optimus</t>
  </si>
  <si>
    <t>Chassis Controls Technical Project Manager, Vehicle Firmware</t>
  </si>
  <si>
    <t>Thermo Systems</t>
  </si>
  <si>
    <t>Control Systems Co-Op</t>
  </si>
  <si>
    <t>Audi</t>
  </si>
  <si>
    <t>MIT Lincoln Laboratories</t>
  </si>
  <si>
    <t>Kodiak</t>
  </si>
  <si>
    <t>Figure</t>
  </si>
  <si>
    <t>Fall 2025 Engineering Internship</t>
  </si>
  <si>
    <t>Star Catcher</t>
  </si>
  <si>
    <t>ANELLO Photonics</t>
  </si>
  <si>
    <t>Navigation Engineer Internship</t>
  </si>
  <si>
    <t>Spacecraft Engineering Intern</t>
  </si>
  <si>
    <t>Reditus Space</t>
  </si>
  <si>
    <t>Flight Dynamics Intern</t>
  </si>
  <si>
    <t>ICEYE</t>
  </si>
  <si>
    <t>Flight Dynamics Research Intern</t>
  </si>
  <si>
    <t>Mclaurin Aerospace</t>
  </si>
  <si>
    <t>RippleMatch</t>
  </si>
  <si>
    <t>Aerospace Engineering Intern</t>
  </si>
  <si>
    <t>Interview Percentage</t>
  </si>
  <si>
    <t>Offer Percentage</t>
  </si>
  <si>
    <t>Number of Offers</t>
  </si>
  <si>
    <t>Number of Applications</t>
  </si>
  <si>
    <t>NASA</t>
  </si>
  <si>
    <t>Ascent Abort Integrated GN&amp;C</t>
  </si>
  <si>
    <t>Spacecraft GN&amp;C Development and Testing</t>
  </si>
  <si>
    <t>Mission and Trajectory Design</t>
  </si>
  <si>
    <t>Firefly</t>
  </si>
  <si>
    <t>GNC Engineering</t>
  </si>
  <si>
    <t>VAST</t>
  </si>
  <si>
    <t>JHAPL</t>
  </si>
  <si>
    <t>2026 Internship - Scientist; Engineer - Space Algorithms and Technologies</t>
  </si>
  <si>
    <t>2026 Spacecraft and Ground Concept Design Graduate Intern</t>
  </si>
  <si>
    <t>TAC</t>
  </si>
  <si>
    <t>Apolink</t>
  </si>
  <si>
    <t>Internship General App</t>
  </si>
  <si>
    <t>Apex</t>
  </si>
  <si>
    <t>Chose your own adventure</t>
  </si>
  <si>
    <t>2026 Modeling and Simulation Graduate Intern - Communications and Ground Architectures</t>
  </si>
  <si>
    <t>2025 Emerging Missions Flight Dynamics Graduate Intern</t>
  </si>
  <si>
    <t>2025 Systems, Performance, Estimation and Algorithms Graduate Intern</t>
  </si>
  <si>
    <t>2026 Space Mission Analysis and Operations Graduate Intern</t>
  </si>
  <si>
    <t>Systems Engineering Intern (Summer 2026)</t>
  </si>
  <si>
    <t>Muon</t>
  </si>
  <si>
    <t>2026 Navigation &amp; Positioning Systems Graduate Intern</t>
  </si>
  <si>
    <t>Space Operations Engineering Intern (Summer 2026)</t>
  </si>
  <si>
    <t>Impulse</t>
  </si>
  <si>
    <t>GNC Engineering Spring 2026 Intern</t>
  </si>
  <si>
    <t>Reditus</t>
  </si>
  <si>
    <t>Space GNC Graduate Intern – Summer 2026</t>
  </si>
  <si>
    <t>Draper</t>
  </si>
  <si>
    <t>Navigation &amp; Tracking Engineering Intern</t>
  </si>
  <si>
    <t>Internship - Far ranges safety analysis and modelization</t>
  </si>
  <si>
    <t>MaiaSpace</t>
  </si>
  <si>
    <t>Internshp</t>
  </si>
  <si>
    <t>NASA JPL</t>
  </si>
  <si>
    <t>2026 Remote Sensing Architecture Performance Graduate Intern</t>
  </si>
  <si>
    <t>2026 Space Systems Architect Graduate Intern</t>
  </si>
  <si>
    <t>Guidance Navigation &amp; Control (GNC) Intern – Summer 2026</t>
  </si>
  <si>
    <t>K2</t>
  </si>
  <si>
    <t>Spring 2026 - GNC Internship</t>
  </si>
  <si>
    <t>Cesium Astro</t>
  </si>
  <si>
    <t>Internship - Guidance, Navigation, and Control - Summer 2026</t>
  </si>
  <si>
    <t>2026 Trajectory Optimization Graduate Intern</t>
  </si>
  <si>
    <t>GNC Engineer Internship (Summer 2026)</t>
  </si>
  <si>
    <t>SWFT</t>
  </si>
  <si>
    <t>National Space Intern Program</t>
  </si>
  <si>
    <t>Number of Interviews</t>
  </si>
  <si>
    <t>2026 Control Analysis Graduate Intern</t>
  </si>
  <si>
    <t>NG</t>
  </si>
  <si>
    <t>2026 Guidance Navigation and Control Intern Dulles VA</t>
  </si>
  <si>
    <t>Infinite Orbits</t>
  </si>
  <si>
    <t>GNC Engineering Intern</t>
  </si>
  <si>
    <t>Anduril</t>
  </si>
  <si>
    <t>Systems Engineer Intern, Space</t>
  </si>
  <si>
    <t>Defense Science and Technology Internship Graduate Student - Summer 2026</t>
  </si>
  <si>
    <t>LLNL</t>
  </si>
  <si>
    <t>Space Science Institute Graduate Intern - Summer 2026</t>
  </si>
  <si>
    <t>Space Policy Graduate Intern</t>
  </si>
  <si>
    <t>Aerospace Rising Star Programs</t>
  </si>
  <si>
    <t>Aerospace/Orbital Dynamics Intern</t>
  </si>
  <si>
    <t>TSC</t>
  </si>
  <si>
    <t>2026 Systems Engineer Intern</t>
  </si>
  <si>
    <t>AFRL</t>
  </si>
  <si>
    <t>Autonomy flight software autoNGC at NASA Goddard Space Flight Center (GSFC)</t>
  </si>
  <si>
    <t>Name</t>
  </si>
  <si>
    <t>Description</t>
  </si>
  <si>
    <t>Mentor</t>
  </si>
  <si>
    <t>This internship, located at NASA Goddard Space Flight Facility (GSFC), entails supporting NASA's autoNGC (autonomous Navigation, Guidance, and Technology) project in one of the following areas: onboard navigation analysis, simulations, and testing; flight software development; software-in-the-loop and processor-in-the-loop testing; flight data analysis; maneuver design and analysis. The AFRL scholar will learn various navigation methods including optical navigation and radiometric and their implementation for onboard automation in various orbit regimes such as low-Earth, cis-lunar, and lunar-orbit.</t>
  </si>
  <si>
    <t>Sun Hur-Diaz</t>
  </si>
  <si>
    <t>Dynamic RPOD Mission Planning</t>
  </si>
  <si>
    <t>Expand previously made models of linearized in-space rendezvous problem to a broader solution set by implementing different equations of motion from published work. Investigate “fly by wire” control systems for chemical propulsion to enable novel Concept of Operations enabled by recent S&amp;T. This toolset should be able to adapt to perform RPO around space debris and other resident space objects during flight.</t>
  </si>
  <si>
    <t>Ethan Sichler</t>
  </si>
  <si>
    <t>24/7 Optical Space Situational Awareness</t>
  </si>
  <si>
    <t>The project involves hands-on experience with ground-based telescopes, where the intern will participate in data collection, processing, and analysis. Additionally, the intern will engage in modeling and simulation tasks to support our research objectives. Ideal candidates should demonstrate enthusiasm for learning and strong foundational knowledge in science, technology, engineering, or mathematics.</t>
  </si>
  <si>
    <t>Nathen Nguyen</t>
  </si>
  <si>
    <t>Hybrid Control Design for Satellite Systems</t>
  </si>
  <si>
    <t>Due to the difficulties in controlling satellite systems inherent to the nature of the environment, in this project, we are interested in developing a robust, multi-modal control algorithm for a stabilizing the attitude of a satellite system. Prospective interns should have a background in systems theory, aerospace dynamics, advanced/nonlinear control theory, Matlab/Simulink, and (bonus points) hybrid systems.</t>
  </si>
  <si>
    <t>Sean Phillips</t>
  </si>
  <si>
    <t>Autonomous Cis-Lunar Navigation of a Lagrange Point Orbiting Satellite</t>
  </si>
  <si>
    <t>Autonomous cis- or trans-Lunar spacecraft navigation is critical to mission success as communication to ground stations and access to GPS signals could be lost. However, if the satellite has a camera of sufficient quality, line of sight (unit vector) measurements can be made to known solar system bodies to provide observations which enable autonomous estimation of position and velocity of the spacecraft, that can be telemetered to those interested space based or ground based consumers. An improved Gaussian-Initial Orbit Determination (IOD) algorithm, based on the exact values of the f and g series (free of the 8th order polynomial and range guessing), for spacecraft state estimation, is presented here and exercised in the inertial coordinate frame (2-Body Problem) to provide an initial guess for the Batch IOD that is performed in the Circular Restricted Three Body Problem (CRTBP) reference frame, which ultimately serves to initialize a CRTBP Extended Kalman Filter (EKF) navigator that collects angle only measurements to a known Asteroid 2014 EC (flying by the Earth) to sequentially estimate position and velocity of an observer spacecraft flying in a Halo orbit. With the addition of simulating/expressing the accelerations that would be sensed in the IMU platform frame due to delta velocities caused by either perturbations or corrective guidance maneuvers, this three phase algorithm is able to autonomously track the spacecraft state on its Cis-Lunar journey while observing the motion of the Asteroid.</t>
  </si>
  <si>
    <t>Mark Hinga</t>
  </si>
  <si>
    <t>Contacted</t>
  </si>
  <si>
    <t>Location</t>
  </si>
  <si>
    <t>Edwards Air Force Base (AFB), California</t>
  </si>
  <si>
    <t>AFRL AMOS (Maui Space Surveillance Complex), Maui, Hawaii</t>
  </si>
  <si>
    <t>Kirtland Air Force Base (AFB), Albuquerque, New Mexico</t>
  </si>
  <si>
    <t>AFOSR / NASA GSFC, Greenbelt, Maryland</t>
  </si>
  <si>
    <t>Adam Rutkowski</t>
  </si>
  <si>
    <t>The goal of this project is to conduct research on various methods to improve navigation uncertainty without GPS for single vehicle and collaborative multi-vehicle applications. Possible research thrusts include path planning and guidance laws that reduce the expected uncertainty throughout the execution of a trajectory, or algorithmic improvements that increase accuracy, computational efficiency, or robustness. Factor graph based smoothing methods such as the popular Georgia Tech Smoothing and Mapping (GTSAM) library or a similar alternative will be used as the core computational framework for navigation. This project will develop direct contributions or extensions to factor graph based navigation measurement models (i.e. factors) and nonlinear optimization methods that are tested in simulation or using existing datasets.</t>
  </si>
  <si>
    <t>Robust Autonomous Navigation without GPS</t>
  </si>
  <si>
    <t>Christian Harris</t>
  </si>
  <si>
    <t>Bayesian Filtering for Multi-agent GPS-Denied Navigation​</t>
  </si>
  <si>
    <t>The goal of this summer project is to extend the state-of-the-art of graph-based batch estimators to support the development of multi-agent cooperative navigation solutions for GPS-denied applications. The project will explore the theoretical development and prototyping of novel pose graph optimization (PGO) algorithms, capable of incorporating vehicle odometry from multiple agents, with alternative uncertainties representations for improved estimation performance.
Students will work in a team setting to integrate different algorithmic components for an end-of-summer proof-of-concept demonstration. Students will also have access to a university-run flight laboratory, with a variety of vehicles, sensors, computers, and lab equipment for research and development, as well as mentorship from university staff, faculty, and AFRL researchers. Additionally, the flight lab will host several interdisciplinary efforts over the summer, allowing opportunity for collaboration with researchers from different experience backgrounds (undergraduate through Postdoc/visiting professors) and on a wide range of guidance, navigation, and control (GNC) related topics.</t>
  </si>
  <si>
    <t>Graph-based Estimators for Multi-agent GPS-Denied Navigation</t>
  </si>
  <si>
    <t>The goal of this summer project is to extend the state-of-the-art of Bayesian filtering techniques to support the development of multi-agent cooperative navigation solutions for GPS-denied applications. The project will explore the theoretical development and prototyping of novel filtering techniques, that are able to incorporate measurements from a greater variety of sensors and platforms for improved relative-state estimation.
Students will work in a team setting to integrate different algorithmic components for an end-of-summer proof-of-concept demonstration. Students will also have access to a university-run flight laboratory, with a variety of vehicles, sensors, computers, and lab equipment for research and development, as well as mentorship from university staff, faculty, and AFRL researchers. Additionally, the flight lab will host several interdisciplinary efforts over the summer, allowing opportunity for collaboration with researchers from different experience backgrounds (undergraduate through Postdoc/visiting professors) and on a wide range of guidance, navigation, and control (GNC) related topics.</t>
  </si>
  <si>
    <t>Eglin Air Force Base (AFB), Florida</t>
  </si>
  <si>
    <t>2026 Mission Engineering Graduate Intern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</si>
</sst>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u/>
      <sz val="11"/>
      <color theme="10"/>
      <name val="Aptos Display"/>
      <family val="2"/>
      <scheme val="major"/>
    </font>
    <font>
      <sz val="11"/>
      <color theme="1"/>
      <name val="Aptos Display"/>
      <family val="2"/>
      <scheme val="major"/>
    </font>
    <font>
      <b/>
      <sz val="11"/>
      <color theme="1"/>
      <name val="Aptos Display"/>
      <family val="2"/>
      <scheme val="major"/>
    </font>
    <font>
      <b/>
      <sz val="10"/>
      <color theme="1"/>
      <name val="Arial"/>
      <family val="2"/>
    </font>
    <font>
      <sz val="10"/>
      <color theme="1"/>
      <name val="Arial"/>
      <family val="2"/>
    </font>
    <font>
      <sz val="8"/>
      <color theme="1"/>
      <name val="Aptos Narrow"/>
      <family val="2"/>
      <scheme val="minor"/>
    </font>
  </fonts>
  <fills count="6">
    <fill>
      <patternFill patternType="none"/>
    </fill>
    <fill>
      <patternFill patternType="gray125"/>
    </fill>
    <fill>
      <patternFill patternType="solid">
        <fgColor rgb="FF34A853"/>
        <bgColor indexed="64"/>
      </patternFill>
    </fill>
    <fill>
      <patternFill patternType="solid">
        <fgColor rgb="FFEA4335"/>
        <bgColor indexed="64"/>
      </patternFill>
    </fill>
    <fill>
      <patternFill patternType="solid">
        <fgColor rgb="FF00B050"/>
        <bgColor indexed="64"/>
      </patternFill>
    </fill>
    <fill>
      <patternFill patternType="solid">
        <fgColor rgb="FFFF0000"/>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medium">
        <color rgb="FFCCCCCC"/>
      </right>
      <top style="thin">
        <color indexed="64"/>
      </top>
      <bottom style="medium">
        <color rgb="FFCCCCCC"/>
      </bottom>
      <diagonal/>
    </border>
    <border>
      <left style="medium">
        <color rgb="FFCCCCCC"/>
      </left>
      <right style="medium">
        <color rgb="FFCCCCCC"/>
      </right>
      <top style="thin">
        <color indexed="64"/>
      </top>
      <bottom style="medium">
        <color rgb="FFCCCCCC"/>
      </bottom>
      <diagonal/>
    </border>
    <border>
      <left style="medium">
        <color rgb="FFCCCCCC"/>
      </left>
      <right style="thin">
        <color indexed="64"/>
      </right>
      <top style="thin">
        <color indexed="64"/>
      </top>
      <bottom style="medium">
        <color rgb="FFCCCCCC"/>
      </bottom>
      <diagonal/>
    </border>
    <border>
      <left style="thin">
        <color indexed="64"/>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0" borderId="1" xfId="1" applyFont="1" applyBorder="1" applyAlignment="1">
      <alignment wrapText="1"/>
    </xf>
    <xf numFmtId="0" fontId="3" fillId="0" borderId="0" xfId="0" applyFont="1"/>
    <xf numFmtId="14" fontId="3" fillId="0" borderId="0" xfId="0" applyNumberFormat="1" applyFont="1"/>
    <xf numFmtId="0" fontId="2" fillId="0" borderId="5" xfId="1"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4" fillId="0" borderId="0" xfId="0" applyFont="1"/>
    <xf numFmtId="0" fontId="3" fillId="0" borderId="5" xfId="0" applyFont="1" applyBorder="1" applyAlignment="1">
      <alignment wrapText="1"/>
    </xf>
    <xf numFmtId="0" fontId="3" fillId="2" borderId="1" xfId="0" applyFont="1" applyFill="1" applyBorder="1" applyAlignment="1">
      <alignment wrapText="1"/>
    </xf>
    <xf numFmtId="14" fontId="3" fillId="0" borderId="1" xfId="0" applyNumberFormat="1" applyFont="1" applyBorder="1" applyAlignment="1">
      <alignment horizontal="right" wrapText="1"/>
    </xf>
    <xf numFmtId="0" fontId="3" fillId="3" borderId="1" xfId="0" applyFont="1" applyFill="1" applyBorder="1" applyAlignment="1">
      <alignment wrapText="1"/>
    </xf>
    <xf numFmtId="14" fontId="3" fillId="0" borderId="5" xfId="0" applyNumberFormat="1" applyFont="1" applyBorder="1" applyAlignment="1">
      <alignment wrapText="1"/>
    </xf>
    <xf numFmtId="0" fontId="5" fillId="0" borderId="2"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6" fillId="0" borderId="5" xfId="0" applyFont="1" applyBorder="1" applyAlignment="1">
      <alignment wrapText="1"/>
    </xf>
    <xf numFmtId="0" fontId="1" fillId="0" borderId="5" xfId="1" applyBorder="1" applyAlignment="1">
      <alignment wrapText="1"/>
    </xf>
    <xf numFmtId="0" fontId="6" fillId="4" borderId="5" xfId="0" applyFont="1" applyFill="1" applyBorder="1" applyAlignment="1">
      <alignment wrapText="1"/>
    </xf>
    <xf numFmtId="14" fontId="6" fillId="0" borderId="5" xfId="0" applyNumberFormat="1" applyFont="1" applyBorder="1" applyAlignment="1">
      <alignment wrapText="1"/>
    </xf>
    <xf numFmtId="0" fontId="6" fillId="5" borderId="5" xfId="0" applyFont="1" applyFill="1" applyBorder="1" applyAlignment="1">
      <alignment wrapText="1"/>
    </xf>
    <xf numFmtId="0" fontId="0" fillId="0" borderId="0" xfId="0" applyAlignment="1">
      <alignment wrapText="1"/>
    </xf>
    <xf numFmtId="0" fontId="0" fillId="4" borderId="0" xfId="0" applyFill="1"/>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aper.wd5.myworkdayjobs.com/en-US/Draper_Careers/job/Cambridge-MA/System-Concepts-and-Design-Fall-2025-Co-op_JR001222" TargetMode="External"/><Relationship Id="rId13" Type="http://schemas.openxmlformats.org/officeDocument/2006/relationships/hyperlink" Target="https://blueorigin.wd5.myworkdayjobs.com/BlueOrigin/job/Seattle-WA/Spring-2026-Return-Internship---Graduate_R52465" TargetMode="External"/><Relationship Id="rId18" Type="http://schemas.openxmlformats.org/officeDocument/2006/relationships/hyperlink" Target="https://anello-photonics.easyapply-ats.com/us/linkedin/682c38d1cfad9a2b766657d8" TargetMode="External"/><Relationship Id="rId26" Type="http://schemas.openxmlformats.org/officeDocument/2006/relationships/printerSettings" Target="../printerSettings/printerSettings1.bin"/><Relationship Id="rId3" Type="http://schemas.openxmlformats.org/officeDocument/2006/relationships/hyperlink" Target="https://www.tesla.com/careers/search/job/internship-software-controls-engineer-optimus-fall-2025-241053" TargetMode="External"/><Relationship Id="rId21" Type="http://schemas.openxmlformats.org/officeDocument/2006/relationships/hyperlink" Target="https://apply.workable.com/iceye/j/1CAA372CA2/" TargetMode="External"/><Relationship Id="rId7" Type="http://schemas.openxmlformats.org/officeDocument/2006/relationships/hyperlink" Target="https://fireflyspace.com/careers/?jobId=ee4a2e87-dc33-c12b-d025-085a77d1ca8c" TargetMode="External"/><Relationship Id="rId12" Type="http://schemas.openxmlformats.org/officeDocument/2006/relationships/hyperlink" Target="https://job-boards.greenhouse.io/spacekinetic/jobs/4643522008" TargetMode="External"/><Relationship Id="rId17" Type="http://schemas.openxmlformats.org/officeDocument/2006/relationships/hyperlink" Target="https://thermosystems.com/careers/?jobId=9ee099cc-cd27-4cbd-b6a7-66fd5c49cf79" TargetMode="External"/><Relationship Id="rId25" Type="http://schemas.openxmlformats.org/officeDocument/2006/relationships/hyperlink" Target="https://careers.astrion.us/jobs/21226?mode=apply&amp;iis=LinkedIn" TargetMode="External"/><Relationship Id="rId2" Type="http://schemas.openxmlformats.org/officeDocument/2006/relationships/hyperlink" Target="https://www.tesla.com/careers/search/job/internship-chassis-controls-technical-project-manager-vehicle-firmware-fall-2025-240866" TargetMode="External"/><Relationship Id="rId16" Type="http://schemas.openxmlformats.org/officeDocument/2006/relationships/hyperlink" Target="https://merl.clearcompany.com/careers/jobs/71a24a8c-5774-a50a-9718-a3c2a8e4ef5e/apply" TargetMode="External"/><Relationship Id="rId20" Type="http://schemas.openxmlformats.org/officeDocument/2006/relationships/hyperlink" Target="https://ats.rippling.com/orbital-operations/jobs/8d9c39db-89af-4ab5-9005-3ea26a438506" TargetMode="External"/><Relationship Id="rId1" Type="http://schemas.openxmlformats.org/officeDocument/2006/relationships/hyperlink" Target="https://thermosystems.com/careers/?jobId=9ee099cc-cd27-4cbd-b6a7-66fd5c49cf79" TargetMode="External"/><Relationship Id="rId6" Type="http://schemas.openxmlformats.org/officeDocument/2006/relationships/hyperlink" Target="https://jobs.ashbyhq.com/reflect-orbital/a410d153-1177-48df-a166-e59fc18ce534" TargetMode="External"/><Relationship Id="rId11" Type="http://schemas.openxmlformats.org/officeDocument/2006/relationships/hyperlink" Target="https://job-boards.greenhouse.io/vast/jobs/4443571006?gh_jid=4443571006" TargetMode="External"/><Relationship Id="rId24" Type="http://schemas.openxmlformats.org/officeDocument/2006/relationships/hyperlink" Target="https://ripplematch.easyapply-ats.com/us/linkedin/687eb9c7fd9fda1fab6555c8" TargetMode="External"/><Relationship Id="rId5" Type="http://schemas.openxmlformats.org/officeDocument/2006/relationships/hyperlink" Target="https://www.tesla.com/careers/search/job/internship-controls-engineer-energy-engineering-fall-2025-243843" TargetMode="External"/><Relationship Id="rId15" Type="http://schemas.openxmlformats.org/officeDocument/2006/relationships/hyperlink" Target="https://job-boards.greenhouse.io/spacex/jobs/7907289002?gh_jid=7907289002" TargetMode="External"/><Relationship Id="rId23" Type="http://schemas.openxmlformats.org/officeDocument/2006/relationships/hyperlink" Target="https://ripplematch.easyapply-ats.com/us/linkedin/687eb9effd9fda1fab6556e9" TargetMode="External"/><Relationship Id="rId10" Type="http://schemas.openxmlformats.org/officeDocument/2006/relationships/hyperlink" Target="https://www.zipline.com/careers/open-roles/6585980003" TargetMode="External"/><Relationship Id="rId19" Type="http://schemas.openxmlformats.org/officeDocument/2006/relationships/hyperlink" Target="https://www.ycombinator.com/companies/reditus-space/jobs/V6waBzI-spacecraft-engineering-intern?utm_source=syn_li" TargetMode="External"/><Relationship Id="rId4" Type="http://schemas.openxmlformats.org/officeDocument/2006/relationships/hyperlink" Target="http://tesla.com/careers/search/job/internship-motor-controls-engineer-vehicle-controls-fall-2025-243477" TargetMode="External"/><Relationship Id="rId9" Type="http://schemas.openxmlformats.org/officeDocument/2006/relationships/hyperlink" Target="https://www.zipline.com/careers/open-roles/6587469003" TargetMode="External"/><Relationship Id="rId14" Type="http://schemas.openxmlformats.org/officeDocument/2006/relationships/hyperlink" Target="https://job-boards.greenhouse.io/astranis/jobs/4395411006" TargetMode="External"/><Relationship Id="rId22" Type="http://schemas.openxmlformats.org/officeDocument/2006/relationships/hyperlink" Target="https://mclaurin.isolvedhire.com/jobs/155322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jobs.ashbyhq.com/reflect-orbital/bd561b39-1f3e-4809-9bd4-2975b855b7ff" TargetMode="External"/><Relationship Id="rId3" Type="http://schemas.openxmlformats.org/officeDocument/2006/relationships/hyperlink" Target="https://stemgateway.nasa.gov/s/course-offering/a0BSJ000003t5oX2AQ/orion-engineering-internship-mission-and-trajectory-design" TargetMode="External"/><Relationship Id="rId7" Type="http://schemas.openxmlformats.org/officeDocument/2006/relationships/hyperlink" Target="https://www.ycombinator.com/companies/reditus-space/jobs/lq7m4PV-modeling-and-simulation-engineering-spring-2026-intern" TargetMode="External"/><Relationship Id="rId2" Type="http://schemas.openxmlformats.org/officeDocument/2006/relationships/hyperlink" Target="https://stemgateway.nasa.gov/s/course-offering/a0BSJ000003t3mj2AA/spacecraft-guidance-navigation-and-control-gnc-development-and-testing" TargetMode="External"/><Relationship Id="rId1" Type="http://schemas.openxmlformats.org/officeDocument/2006/relationships/hyperlink" Target="https://stemgateway.nasa.gov/s/course-offering/a0BSJ000003piLR2AY/orion-engineering-internship-ascent-abort-integrated-gnc" TargetMode="External"/><Relationship Id="rId6" Type="http://schemas.openxmlformats.org/officeDocument/2006/relationships/hyperlink" Target="https://jobs.ashbyhq.com/apex-technology-inc/0f214660-62a2-414e-93ee-44e20abe48de/application?utm_source=LinkedIn" TargetMode="External"/><Relationship Id="rId11" Type="http://schemas.openxmlformats.org/officeDocument/2006/relationships/hyperlink" Target="https://jobs.lever.co/CesiumAstro/9e1a63d0-56c8-439f-a97a-0eddf1412592/apply?source=LinkedIn" TargetMode="External"/><Relationship Id="rId5" Type="http://schemas.openxmlformats.org/officeDocument/2006/relationships/hyperlink" Target="https://jobs.ashbyhq.com/apolink/ecb50afe-3f9b-4abf-8dff-b9a60c23e971/application" TargetMode="External"/><Relationship Id="rId10" Type="http://schemas.openxmlformats.org/officeDocument/2006/relationships/hyperlink" Target="https://www.jpl.nasa.gov/edu/internships/" TargetMode="External"/><Relationship Id="rId4" Type="http://schemas.openxmlformats.org/officeDocument/2006/relationships/hyperlink" Target="https://fireflyspace.com/careers/?jobId=0499ec46-4018-36ac-ac13-e75ce8f8c772" TargetMode="External"/><Relationship Id="rId9" Type="http://schemas.openxmlformats.org/officeDocument/2006/relationships/hyperlink" Target="https://careers.maia-space.com/o/internship-far-ranges-safety-analysis-and-modelization"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jpl.nasa.gov/edu/internships/" TargetMode="External"/><Relationship Id="rId18" Type="http://schemas.openxmlformats.org/officeDocument/2006/relationships/hyperlink" Target="https://talent.aerospace.org/careers/job/790312054556-2026-emerging-missions-flight-dynamics-graduate-intern-el-segundo-ca?domain=aerospace.org" TargetMode="External"/><Relationship Id="rId26" Type="http://schemas.openxmlformats.org/officeDocument/2006/relationships/hyperlink" Target="https://jobs.smartrecruiters.com/LLNL/3743990010080846-defense-science-and-technology-internship-graduate-student-summer-2026?trid=2d92f286-613b-4daf-9dfa-6340ffbecf73" TargetMode="External"/><Relationship Id="rId39" Type="http://schemas.openxmlformats.org/officeDocument/2006/relationships/hyperlink" Target="https://afrlscholars.usra.edu/students/" TargetMode="External"/><Relationship Id="rId21" Type="http://schemas.openxmlformats.org/officeDocument/2006/relationships/hyperlink" Target="https://swft.space/intern-registration-form/" TargetMode="External"/><Relationship Id="rId34" Type="http://schemas.openxmlformats.org/officeDocument/2006/relationships/hyperlink" Target="https://afrlscholars.usra.edu/students/" TargetMode="External"/><Relationship Id="rId7" Type="http://schemas.openxmlformats.org/officeDocument/2006/relationships/hyperlink" Target="https://aero.wd5.myworkdayjobs.com/External/job/El-Segundo-CA/XMLNAME-2026-Navigation---Positioning-Systems-Graduate-Intern_R013727/apply?src=Google" TargetMode="External"/><Relationship Id="rId2" Type="http://schemas.openxmlformats.org/officeDocument/2006/relationships/hyperlink" Target="https://talent.aerospace.org/careers/job/790312054551-2026-space-mission-analysis-and-operations-graduate-intern-colorado-springs-co?domain=aerospace.org" TargetMode="External"/><Relationship Id="rId16" Type="http://schemas.openxmlformats.org/officeDocument/2006/relationships/hyperlink" Target="https://job-boards.greenhouse.io/k2spacecorporation/jobs/4884908008" TargetMode="External"/><Relationship Id="rId20" Type="http://schemas.openxmlformats.org/officeDocument/2006/relationships/hyperlink" Target="https://www.apexspace.com/careers?ashby_jid=a4accc2f-d5e5-46ee-94a8-615bf785046a" TargetMode="External"/><Relationship Id="rId29" Type="http://schemas.openxmlformats.org/officeDocument/2006/relationships/hyperlink" Target="https://talent.aerospace.org/careers/job/790313082045-2026-aerospace-rising-star-programs-el-segundo-ca?domain=aerospace.org" TargetMode="External"/><Relationship Id="rId41" Type="http://schemas.openxmlformats.org/officeDocument/2006/relationships/printerSettings" Target="../printerSettings/printerSettings2.bin"/><Relationship Id="rId1" Type="http://schemas.openxmlformats.org/officeDocument/2006/relationships/hyperlink" Target="https://talent.aerospace.org/careers/job/790312054550-2025-systems-performance-estimation-and-algorithms-graduate-intern-el-segundo-ca?domain=aerospace.org" TargetMode="External"/><Relationship Id="rId6" Type="http://schemas.openxmlformats.org/officeDocument/2006/relationships/hyperlink" Target="https://job-boards.greenhouse.io/vast/jobs/4594960006?gh_jid=4594960006" TargetMode="External"/><Relationship Id="rId11" Type="http://schemas.openxmlformats.org/officeDocument/2006/relationships/hyperlink" Target="https://job-boards.greenhouse.io/muonspace/jobs/4906286007" TargetMode="External"/><Relationship Id="rId24" Type="http://schemas.openxmlformats.org/officeDocument/2006/relationships/hyperlink" Target="https://www.infiniteorbits.io/jobs/gnc-engineering-intern" TargetMode="External"/><Relationship Id="rId32" Type="http://schemas.openxmlformats.org/officeDocument/2006/relationships/hyperlink" Target="https://afrlscholars.usra.edu/students/" TargetMode="External"/><Relationship Id="rId37" Type="http://schemas.openxmlformats.org/officeDocument/2006/relationships/hyperlink" Target="https://afrlscholars.usra.edu/students/" TargetMode="External"/><Relationship Id="rId40" Type="http://schemas.openxmlformats.org/officeDocument/2006/relationships/hyperlink" Target="https://aero.wd5.myworkdayjobs.com/en-US/External/job/XMLNAME-2026-Mission-Engineering-Graduate-Intern_R014262" TargetMode="External"/><Relationship Id="rId5" Type="http://schemas.openxmlformats.org/officeDocument/2006/relationships/hyperlink" Target="https://talent.aerospace.org/careers/job/790311954151-2026-modeling-and-simulation-graduate-intern-communications-and-ground-architectures-el-segundo-ca?domain=aerospace.org" TargetMode="External"/><Relationship Id="rId15" Type="http://schemas.openxmlformats.org/officeDocument/2006/relationships/hyperlink" Target="https://aero.wd5.myworkdayjobs.com/External/job/Chantilly-VA/XMLNAME-2026-Space-Systems-Architect-Graduate-Intern_R013729/apply?src=Google" TargetMode="External"/><Relationship Id="rId23" Type="http://schemas.openxmlformats.org/officeDocument/2006/relationships/hyperlink" Target="https://jobs.northropgrumman.com/careers/job/1340068761212-2026-guidance-navigation-and-control-intern-dulles-va-united-states-virginia-dulles?domain=ngc.com" TargetMode="External"/><Relationship Id="rId28" Type="http://schemas.openxmlformats.org/officeDocument/2006/relationships/hyperlink" Target="https://talent.aerospace.org/careers/job/790312736553-2026-space-policy-graduate-intern-crystal-city-va?domain=aerospace.org" TargetMode="External"/><Relationship Id="rId36" Type="http://schemas.openxmlformats.org/officeDocument/2006/relationships/hyperlink" Target="https://afrlscholars.usra.edu/students/" TargetMode="External"/><Relationship Id="rId10" Type="http://schemas.openxmlformats.org/officeDocument/2006/relationships/hyperlink" Target="https://draper.wd5.myworkdayjobs.com/en-US/Draper_Careers/job/Cambridge-MA/Navigation---Tracking-Engineering-Intern_JR001704?workerSubType=b9bd15164d241000cf9857a64e2e0000" TargetMode="External"/><Relationship Id="rId19" Type="http://schemas.openxmlformats.org/officeDocument/2006/relationships/hyperlink" Target="https://jobs.ashbyhq.com/apolink/ecb50afe-3f9b-4abf-8dff-b9a60c23e971/application" TargetMode="External"/><Relationship Id="rId31" Type="http://schemas.openxmlformats.org/officeDocument/2006/relationships/hyperlink" Target="https://jobs.northropgrumman.com/careers/job/1340068684455?code=JB-18202&amp;rx_campaign=Linkedin1&amp;rx_ch=connector&amp;rx_group=375073&amp;rx_id=9264c7bf-c1a8-11f0-b8f4-715c0431f257&amp;rx_job=R10214638-2&amp;rx_medium=post&amp;rx_r=none&amp;rx_source=Linkedin&amp;rx_ts=20251210T181304Z&amp;rx_vp=slots&amp;source=JB-18202&amp;utm_audience=prospectivetalentemployees&amp;utm_campaign=ta-general&amp;utm_content=jobfeed&amp;utm_format=cpl&amp;utm_medium=jobboard&amp;utm_network=partnerdirect&amp;utm_source=linkedin-jobslots&amp;rx_viewer=ef3bc21bc7ee11f084ebb9cdae49e9df694844a15c164affb32b2485442ecdf3" TargetMode="External"/><Relationship Id="rId4" Type="http://schemas.openxmlformats.org/officeDocument/2006/relationships/hyperlink" Target="https://talent.aerospace.org/careers/job/790311907601-2026-spacecraft-and-ground-concept-design-graduate-intern-el-segundo-ca?domain=aerospace.org" TargetMode="External"/><Relationship Id="rId9" Type="http://schemas.openxmlformats.org/officeDocument/2006/relationships/hyperlink" Target="https://draper.wd5.myworkdayjobs.com/en-US/Draper_Careers/job/Houston-TX/Space-GNC-Graduate-Intern---Summer-2026_JR001753" TargetMode="External"/><Relationship Id="rId14" Type="http://schemas.openxmlformats.org/officeDocument/2006/relationships/hyperlink" Target="https://aero.wd5.myworkdayjobs.com/External/job/El-Segundo-CA/XMLNAME-2026-Remote-Sensing-Architecture-Performance-Graduate-Intern_R013747/apply?src=Google" TargetMode="External"/><Relationship Id="rId22" Type="http://schemas.openxmlformats.org/officeDocument/2006/relationships/hyperlink" Target="https://aero.wd5.myworkdayjobs.com/en-US/External/job/XMLNAME-2026-Control-Analysis-Graduate-Intern_R013941" TargetMode="External"/><Relationship Id="rId27" Type="http://schemas.openxmlformats.org/officeDocument/2006/relationships/hyperlink" Target="https://jobs.smartrecruiters.com/LLNL/3743990009713157-space-science-institute-graduate-intern-summer-2026?trid=2d92f286-613b-4daf-9dfa-6340ffbecf73" TargetMode="External"/><Relationship Id="rId30" Type="http://schemas.openxmlformats.org/officeDocument/2006/relationships/hyperlink" Target="https://tsc.wd12.myworkdayjobs.com/en-US/TSC-Careers/job/Washington-DC---Naval-Research-Laboratory/Aerospace-Orbital-Dynamics-Intern_JR2306?source=LinkedIn" TargetMode="External"/><Relationship Id="rId35" Type="http://schemas.openxmlformats.org/officeDocument/2006/relationships/hyperlink" Target="https://afrlscholars.usra.edu/students/" TargetMode="External"/><Relationship Id="rId8" Type="http://schemas.openxmlformats.org/officeDocument/2006/relationships/hyperlink" Target="https://impulsespace.pinpointhq.com/postings/5fed86f1-6699-4560-828e-8873b34fa575/applications/new?utm_medium=job_board&amp;utm_source=linkedIn" TargetMode="External"/><Relationship Id="rId3" Type="http://schemas.openxmlformats.org/officeDocument/2006/relationships/hyperlink" Target="https://talent.aerospace.org/careers/job/790312054556-2025-emerging-missions-flight-dynamics-graduate-intern-el-segundo-ca?domain=aerospace.org" TargetMode="External"/><Relationship Id="rId12" Type="http://schemas.openxmlformats.org/officeDocument/2006/relationships/hyperlink" Target="https://careers.jhuapl.edu/jobs/57749?lang=en-us&amp;mode=job&amp;iis=job+board&amp;iisn=Appcast_LinkedIn&amp;iieid=65222745272" TargetMode="External"/><Relationship Id="rId17" Type="http://schemas.openxmlformats.org/officeDocument/2006/relationships/hyperlink" Target="https://firefly.clearcompany.com/careers/jobs/add9a4d4-50b5-628e-8f9a-819d24acfcbf/apply" TargetMode="External"/><Relationship Id="rId25" Type="http://schemas.openxmlformats.org/officeDocument/2006/relationships/hyperlink" Target="https://job-boards.greenhouse.io/andurilindustries/jobs/4829829007?gh_jid=4829829007" TargetMode="External"/><Relationship Id="rId33" Type="http://schemas.openxmlformats.org/officeDocument/2006/relationships/hyperlink" Target="https://afrlscholars.usra.edu/students/" TargetMode="External"/><Relationship Id="rId38" Type="http://schemas.openxmlformats.org/officeDocument/2006/relationships/hyperlink" Target="https://afrlscholars.usra.edu/stud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847D-CA1A-4D19-BBB0-CAE6BF766BDE}">
  <dimension ref="A1:I38"/>
  <sheetViews>
    <sheetView workbookViewId="0">
      <selection activeCell="I16" sqref="I16"/>
    </sheetView>
  </sheetViews>
  <sheetFormatPr defaultRowHeight="14.5" x14ac:dyDescent="0.35"/>
  <cols>
    <col min="1" max="1" width="36.26953125" style="2" bestFit="1" customWidth="1"/>
    <col min="2" max="2" width="54.54296875" style="2" customWidth="1"/>
    <col min="3" max="3" width="8.7265625" style="2"/>
    <col min="4" max="4" width="13" style="2" customWidth="1"/>
    <col min="5" max="5" width="12.81640625" style="2" customWidth="1"/>
    <col min="6" max="6" width="8.7265625" style="2"/>
    <col min="7" max="7" width="13.453125" style="2" customWidth="1"/>
    <col min="8" max="8" width="21.08984375" style="2" bestFit="1" customWidth="1"/>
    <col min="9" max="9" width="18.7265625" style="2" bestFit="1" customWidth="1"/>
    <col min="10" max="16384" width="8.7265625" style="2"/>
  </cols>
  <sheetData>
    <row r="1" spans="1:9" s="8" customFormat="1" ht="15" thickBot="1" x14ac:dyDescent="0.4">
      <c r="A1" s="5" t="s">
        <v>0</v>
      </c>
      <c r="B1" s="6" t="s">
        <v>9</v>
      </c>
      <c r="C1" s="6" t="s">
        <v>1</v>
      </c>
      <c r="D1" s="6" t="s">
        <v>10</v>
      </c>
      <c r="E1" s="6" t="s">
        <v>2</v>
      </c>
      <c r="F1" s="6" t="s">
        <v>3</v>
      </c>
      <c r="G1" s="7" t="s">
        <v>11</v>
      </c>
      <c r="H1" s="8" t="s">
        <v>57</v>
      </c>
      <c r="I1" s="8" t="s">
        <v>58</v>
      </c>
    </row>
    <row r="2" spans="1:9" ht="15" thickBot="1" x14ac:dyDescent="0.4">
      <c r="A2" s="9" t="s">
        <v>12</v>
      </c>
      <c r="B2" s="1" t="s">
        <v>13</v>
      </c>
      <c r="C2" s="10"/>
      <c r="D2" s="11">
        <v>45823</v>
      </c>
      <c r="E2" s="10">
        <v>1</v>
      </c>
      <c r="F2" s="12">
        <v>0</v>
      </c>
      <c r="G2" s="12">
        <v>0</v>
      </c>
      <c r="H2" s="2">
        <f>100*COUNTIF(E2:E32,1)/COUNTA(E2:E32)</f>
        <v>33.333333333333336</v>
      </c>
      <c r="I2" s="2">
        <f>100*COUNTIF(F2:F32,1)/COUNTA(F2:F32)</f>
        <v>3.3333333333333335</v>
      </c>
    </row>
    <row r="3" spans="1:9" ht="15" thickBot="1" x14ac:dyDescent="0.4">
      <c r="A3" s="9" t="s">
        <v>14</v>
      </c>
      <c r="B3" s="1" t="s">
        <v>15</v>
      </c>
      <c r="C3" s="10"/>
      <c r="D3" s="11">
        <v>45825</v>
      </c>
      <c r="E3" s="10">
        <v>1</v>
      </c>
      <c r="F3" s="12">
        <v>0</v>
      </c>
      <c r="G3" s="12">
        <v>0</v>
      </c>
      <c r="H3" s="8" t="s">
        <v>60</v>
      </c>
      <c r="I3" s="8" t="s">
        <v>59</v>
      </c>
    </row>
    <row r="4" spans="1:9" ht="15" thickBot="1" x14ac:dyDescent="0.4">
      <c r="A4" s="9" t="s">
        <v>16</v>
      </c>
      <c r="B4" s="1" t="s">
        <v>17</v>
      </c>
      <c r="C4" s="10"/>
      <c r="D4" s="11">
        <v>45823</v>
      </c>
      <c r="E4" s="10">
        <v>1</v>
      </c>
      <c r="F4" s="12">
        <v>0</v>
      </c>
      <c r="G4" s="12">
        <v>0</v>
      </c>
      <c r="H4" s="2">
        <f>COUNTA(E2:E32)</f>
        <v>30</v>
      </c>
      <c r="I4" s="2">
        <f>COUNTIF(E2:E32,1)</f>
        <v>10</v>
      </c>
    </row>
    <row r="5" spans="1:9" ht="15" thickBot="1" x14ac:dyDescent="0.4">
      <c r="A5" s="9" t="s">
        <v>18</v>
      </c>
      <c r="B5" s="1" t="s">
        <v>17</v>
      </c>
      <c r="C5" s="10"/>
      <c r="D5" s="11">
        <v>45823</v>
      </c>
      <c r="E5" s="10">
        <v>1</v>
      </c>
      <c r="F5" s="12">
        <v>0</v>
      </c>
      <c r="G5" s="12">
        <v>0</v>
      </c>
      <c r="H5" s="8" t="s">
        <v>59</v>
      </c>
    </row>
    <row r="6" spans="1:9" ht="15" thickBot="1" x14ac:dyDescent="0.4">
      <c r="A6" s="9" t="s">
        <v>19</v>
      </c>
      <c r="B6" s="1" t="s">
        <v>20</v>
      </c>
      <c r="C6" s="10"/>
      <c r="D6" s="11">
        <v>45823</v>
      </c>
      <c r="E6" s="12">
        <v>0</v>
      </c>
      <c r="F6" s="12">
        <v>0</v>
      </c>
      <c r="G6" s="12">
        <v>0</v>
      </c>
      <c r="H6" s="2">
        <f>COUNTIF(F2:F32,1)</f>
        <v>1</v>
      </c>
    </row>
    <row r="7" spans="1:9" ht="15" thickBot="1" x14ac:dyDescent="0.4">
      <c r="A7" s="9" t="s">
        <v>21</v>
      </c>
      <c r="B7" s="1" t="s">
        <v>22</v>
      </c>
      <c r="C7" s="10"/>
      <c r="D7" s="11">
        <v>45823</v>
      </c>
      <c r="E7" s="12">
        <v>0</v>
      </c>
      <c r="F7" s="12">
        <v>0</v>
      </c>
      <c r="G7" s="12">
        <v>0</v>
      </c>
    </row>
    <row r="8" spans="1:9" ht="15" thickBot="1" x14ac:dyDescent="0.4">
      <c r="A8" s="9" t="s">
        <v>23</v>
      </c>
      <c r="B8" s="1" t="s">
        <v>24</v>
      </c>
      <c r="C8" s="10"/>
      <c r="D8" s="11">
        <v>45825</v>
      </c>
      <c r="E8" s="10">
        <v>1</v>
      </c>
      <c r="F8" s="12">
        <v>0</v>
      </c>
      <c r="G8" s="12">
        <v>0</v>
      </c>
    </row>
    <row r="9" spans="1:9" ht="15" thickBot="1" x14ac:dyDescent="0.4">
      <c r="A9" s="9" t="s">
        <v>23</v>
      </c>
      <c r="B9" s="1" t="s">
        <v>25</v>
      </c>
      <c r="C9" s="10"/>
      <c r="D9" s="11">
        <v>45825</v>
      </c>
      <c r="E9" s="12">
        <v>0</v>
      </c>
      <c r="F9" s="12">
        <v>0</v>
      </c>
      <c r="G9" s="12">
        <v>0</v>
      </c>
    </row>
    <row r="10" spans="1:9" ht="15" thickBot="1" x14ac:dyDescent="0.4">
      <c r="A10" s="9" t="s">
        <v>26</v>
      </c>
      <c r="B10" s="1" t="s">
        <v>27</v>
      </c>
      <c r="C10" s="10"/>
      <c r="D10" s="11">
        <v>45823</v>
      </c>
      <c r="E10" s="10">
        <v>1</v>
      </c>
      <c r="F10" s="12">
        <v>0</v>
      </c>
      <c r="G10" s="12">
        <v>0</v>
      </c>
    </row>
    <row r="11" spans="1:9" ht="15" thickBot="1" x14ac:dyDescent="0.4">
      <c r="A11" s="9" t="s">
        <v>28</v>
      </c>
      <c r="B11" s="1" t="s">
        <v>29</v>
      </c>
      <c r="C11" s="10"/>
      <c r="D11" s="11">
        <v>45823</v>
      </c>
      <c r="E11" s="12">
        <v>0</v>
      </c>
      <c r="F11" s="12">
        <v>0</v>
      </c>
      <c r="G11" s="12">
        <v>0</v>
      </c>
    </row>
    <row r="12" spans="1:9" ht="15" thickBot="1" x14ac:dyDescent="0.4">
      <c r="A12" s="9" t="s">
        <v>30</v>
      </c>
      <c r="B12" s="1" t="s">
        <v>31</v>
      </c>
      <c r="C12" s="10"/>
      <c r="D12" s="11">
        <v>45823</v>
      </c>
      <c r="E12" s="12">
        <v>0</v>
      </c>
      <c r="F12" s="12">
        <v>0</v>
      </c>
      <c r="G12" s="12">
        <v>0</v>
      </c>
    </row>
    <row r="13" spans="1:9" ht="15" thickBot="1" x14ac:dyDescent="0.4">
      <c r="A13" s="9" t="s">
        <v>32</v>
      </c>
      <c r="B13" s="1" t="s">
        <v>31</v>
      </c>
      <c r="C13" s="10"/>
      <c r="D13" s="11">
        <v>45823</v>
      </c>
      <c r="E13" s="12">
        <v>0</v>
      </c>
      <c r="F13" s="12">
        <v>0</v>
      </c>
      <c r="G13" s="12">
        <v>0</v>
      </c>
    </row>
    <row r="14" spans="1:9" ht="15" thickBot="1" x14ac:dyDescent="0.4">
      <c r="A14" s="9" t="s">
        <v>34</v>
      </c>
      <c r="B14" s="1" t="s">
        <v>35</v>
      </c>
      <c r="C14" s="10"/>
      <c r="D14" s="11">
        <v>45826</v>
      </c>
      <c r="E14" s="12">
        <v>0</v>
      </c>
      <c r="F14" s="12">
        <v>0</v>
      </c>
      <c r="G14" s="12">
        <v>0</v>
      </c>
    </row>
    <row r="15" spans="1:9" ht="15" thickBot="1" x14ac:dyDescent="0.4">
      <c r="A15" s="9" t="s">
        <v>34</v>
      </c>
      <c r="B15" s="1" t="s">
        <v>36</v>
      </c>
      <c r="C15" s="10"/>
      <c r="D15" s="11">
        <v>45826</v>
      </c>
      <c r="E15" s="12">
        <v>0</v>
      </c>
      <c r="F15" s="12">
        <v>0</v>
      </c>
      <c r="G15" s="12">
        <v>0</v>
      </c>
    </row>
    <row r="16" spans="1:9" ht="15" thickBot="1" x14ac:dyDescent="0.4">
      <c r="A16" s="9" t="s">
        <v>34</v>
      </c>
      <c r="B16" s="1" t="s">
        <v>37</v>
      </c>
      <c r="C16" s="10"/>
      <c r="D16" s="11">
        <v>45826</v>
      </c>
      <c r="E16" s="12">
        <v>0</v>
      </c>
      <c r="F16" s="12">
        <v>0</v>
      </c>
      <c r="G16" s="12">
        <v>0</v>
      </c>
    </row>
    <row r="17" spans="1:7" ht="15" thickBot="1" x14ac:dyDescent="0.4">
      <c r="A17" s="9" t="s">
        <v>34</v>
      </c>
      <c r="B17" s="1" t="s">
        <v>38</v>
      </c>
      <c r="C17" s="10"/>
      <c r="D17" s="11">
        <v>45826</v>
      </c>
      <c r="E17" s="12">
        <v>0</v>
      </c>
      <c r="F17" s="12">
        <v>0</v>
      </c>
      <c r="G17" s="12">
        <v>0</v>
      </c>
    </row>
    <row r="18" spans="1:7" ht="15" thickBot="1" x14ac:dyDescent="0.4">
      <c r="A18" s="9" t="s">
        <v>39</v>
      </c>
      <c r="B18" s="1" t="s">
        <v>40</v>
      </c>
      <c r="C18" s="10"/>
      <c r="D18" s="11">
        <v>45830</v>
      </c>
      <c r="E18" s="12">
        <v>0</v>
      </c>
      <c r="F18" s="12">
        <v>0</v>
      </c>
      <c r="G18" s="12">
        <v>0</v>
      </c>
    </row>
    <row r="19" spans="1:7" ht="15" thickBot="1" x14ac:dyDescent="0.4">
      <c r="A19" s="9" t="s">
        <v>41</v>
      </c>
      <c r="B19" s="1" t="s">
        <v>7</v>
      </c>
      <c r="C19" s="10"/>
      <c r="D19" s="3">
        <v>45850</v>
      </c>
      <c r="E19" s="12">
        <v>0</v>
      </c>
      <c r="F19" s="12">
        <v>0</v>
      </c>
      <c r="G19" s="12">
        <v>0</v>
      </c>
    </row>
    <row r="20" spans="1:7" ht="15" thickBot="1" x14ac:dyDescent="0.4">
      <c r="A20" s="9" t="s">
        <v>28</v>
      </c>
      <c r="B20" s="1" t="s">
        <v>17</v>
      </c>
      <c r="C20" s="10"/>
      <c r="D20" s="3">
        <v>45850</v>
      </c>
      <c r="E20" s="12">
        <v>0</v>
      </c>
      <c r="F20" s="12">
        <v>0</v>
      </c>
      <c r="G20" s="12">
        <v>0</v>
      </c>
    </row>
    <row r="21" spans="1:7" ht="15" thickBot="1" x14ac:dyDescent="0.4">
      <c r="A21" s="9" t="s">
        <v>42</v>
      </c>
      <c r="B21" s="1" t="s">
        <v>8</v>
      </c>
      <c r="C21" s="10"/>
      <c r="D21" s="3">
        <v>45850</v>
      </c>
      <c r="E21" s="10">
        <v>1</v>
      </c>
      <c r="F21" s="10">
        <v>1</v>
      </c>
      <c r="G21" s="10">
        <v>1</v>
      </c>
    </row>
    <row r="22" spans="1:7" ht="15" thickBot="1" x14ac:dyDescent="0.4">
      <c r="A22" s="9" t="s">
        <v>43</v>
      </c>
      <c r="B22" s="1" t="s">
        <v>4</v>
      </c>
      <c r="C22" s="10"/>
      <c r="D22" s="3">
        <v>45850</v>
      </c>
      <c r="E22" s="10">
        <v>1</v>
      </c>
      <c r="F22" s="12">
        <v>0</v>
      </c>
      <c r="G22" s="12">
        <v>0</v>
      </c>
    </row>
    <row r="23" spans="1:7" ht="15" thickBot="1" x14ac:dyDescent="0.4">
      <c r="A23" s="9" t="s">
        <v>43</v>
      </c>
      <c r="B23" s="1" t="s">
        <v>5</v>
      </c>
      <c r="C23" s="10"/>
      <c r="D23" s="3">
        <v>45850</v>
      </c>
      <c r="E23" s="10">
        <v>1</v>
      </c>
      <c r="F23" s="12">
        <v>0</v>
      </c>
      <c r="G23" s="12">
        <v>0</v>
      </c>
    </row>
    <row r="24" spans="1:7" ht="15" thickBot="1" x14ac:dyDescent="0.4">
      <c r="A24" s="9" t="s">
        <v>44</v>
      </c>
      <c r="B24" s="1" t="s">
        <v>6</v>
      </c>
      <c r="C24" s="10"/>
      <c r="D24" s="3">
        <v>45850</v>
      </c>
      <c r="E24" s="10">
        <v>1</v>
      </c>
      <c r="F24" s="12">
        <v>0</v>
      </c>
      <c r="G24" s="12">
        <v>0</v>
      </c>
    </row>
    <row r="25" spans="1:7" ht="15" thickBot="1" x14ac:dyDescent="0.4">
      <c r="A25" s="9" t="s">
        <v>46</v>
      </c>
      <c r="B25" s="1" t="s">
        <v>45</v>
      </c>
      <c r="C25" s="10"/>
      <c r="D25" s="3">
        <v>45866</v>
      </c>
      <c r="E25" s="12">
        <v>0</v>
      </c>
      <c r="F25" s="12">
        <v>0</v>
      </c>
      <c r="G25" s="12">
        <v>0</v>
      </c>
    </row>
    <row r="26" spans="1:7" ht="15" thickBot="1" x14ac:dyDescent="0.4">
      <c r="A26" s="9" t="s">
        <v>47</v>
      </c>
      <c r="B26" s="4" t="s">
        <v>48</v>
      </c>
      <c r="C26" s="10"/>
      <c r="D26" s="3">
        <v>45866</v>
      </c>
      <c r="E26" s="12">
        <v>0</v>
      </c>
      <c r="F26" s="12">
        <v>0</v>
      </c>
      <c r="G26" s="12">
        <v>0</v>
      </c>
    </row>
    <row r="27" spans="1:7" ht="15" thickBot="1" x14ac:dyDescent="0.4">
      <c r="A27" s="9" t="s">
        <v>50</v>
      </c>
      <c r="B27" s="4" t="s">
        <v>49</v>
      </c>
      <c r="C27" s="10"/>
      <c r="D27" s="3">
        <v>45866</v>
      </c>
      <c r="E27" s="12">
        <v>0</v>
      </c>
      <c r="F27" s="12">
        <v>0</v>
      </c>
      <c r="G27" s="12">
        <v>0</v>
      </c>
    </row>
    <row r="28" spans="1:7" ht="15" thickBot="1" x14ac:dyDescent="0.4">
      <c r="A28" s="9" t="s">
        <v>52</v>
      </c>
      <c r="B28" s="4" t="s">
        <v>51</v>
      </c>
      <c r="C28" s="10"/>
      <c r="D28" s="3">
        <v>45866</v>
      </c>
      <c r="E28" s="12">
        <v>0</v>
      </c>
      <c r="F28" s="12">
        <v>0</v>
      </c>
      <c r="G28" s="12">
        <v>0</v>
      </c>
    </row>
    <row r="29" spans="1:7" ht="15" thickBot="1" x14ac:dyDescent="0.4">
      <c r="A29" s="9" t="s">
        <v>54</v>
      </c>
      <c r="B29" s="4" t="s">
        <v>53</v>
      </c>
      <c r="C29" s="10"/>
      <c r="D29" s="13">
        <v>45874</v>
      </c>
      <c r="E29" s="12">
        <v>0</v>
      </c>
      <c r="F29" s="12">
        <v>0</v>
      </c>
      <c r="G29" s="12">
        <v>0</v>
      </c>
    </row>
    <row r="30" spans="1:7" ht="15" thickBot="1" x14ac:dyDescent="0.4">
      <c r="A30" s="9" t="s">
        <v>55</v>
      </c>
      <c r="B30" s="4" t="s">
        <v>56</v>
      </c>
      <c r="C30" s="10"/>
      <c r="D30" s="13">
        <v>45874</v>
      </c>
      <c r="E30" s="12">
        <v>0</v>
      </c>
      <c r="F30" s="12">
        <v>0</v>
      </c>
      <c r="G30" s="12">
        <v>0</v>
      </c>
    </row>
    <row r="31" spans="1:7" ht="15" thickBot="1" x14ac:dyDescent="0.4">
      <c r="A31" s="9" t="s">
        <v>55</v>
      </c>
      <c r="B31" s="4" t="s">
        <v>56</v>
      </c>
      <c r="C31" s="10"/>
      <c r="D31" s="13">
        <v>45874</v>
      </c>
      <c r="E31" s="12">
        <v>0</v>
      </c>
      <c r="F31" s="12">
        <v>0</v>
      </c>
      <c r="G31" s="12">
        <v>0</v>
      </c>
    </row>
    <row r="32" spans="1:7" ht="15" thickBot="1" x14ac:dyDescent="0.4">
      <c r="A32" s="9" t="s">
        <v>33</v>
      </c>
      <c r="B32" s="4" t="s">
        <v>31</v>
      </c>
      <c r="C32" s="9"/>
      <c r="D32" s="9"/>
      <c r="E32" s="9"/>
      <c r="F32" s="9"/>
      <c r="G32" s="9"/>
    </row>
    <row r="33" spans="1:7" ht="15" thickBot="1" x14ac:dyDescent="0.4">
      <c r="A33" s="9"/>
      <c r="B33" s="9"/>
      <c r="C33" s="9"/>
      <c r="D33" s="9"/>
      <c r="E33" s="9"/>
      <c r="F33" s="9"/>
      <c r="G33" s="9"/>
    </row>
    <row r="34" spans="1:7" ht="15" thickBot="1" x14ac:dyDescent="0.4">
      <c r="A34" s="9"/>
      <c r="B34" s="9"/>
      <c r="C34" s="9"/>
      <c r="D34" s="9"/>
      <c r="E34" s="9"/>
      <c r="F34" s="9"/>
      <c r="G34" s="9"/>
    </row>
    <row r="35" spans="1:7" ht="15" thickBot="1" x14ac:dyDescent="0.4">
      <c r="A35" s="9"/>
      <c r="B35" s="9"/>
      <c r="C35" s="9"/>
      <c r="D35" s="9"/>
      <c r="E35" s="9"/>
      <c r="F35" s="9"/>
      <c r="G35" s="9"/>
    </row>
    <row r="36" spans="1:7" ht="15" thickBot="1" x14ac:dyDescent="0.4">
      <c r="A36" s="9"/>
      <c r="B36" s="9"/>
      <c r="C36" s="9"/>
      <c r="D36" s="9"/>
      <c r="E36" s="9"/>
      <c r="F36" s="9"/>
      <c r="G36" s="9"/>
    </row>
    <row r="37" spans="1:7" ht="15" thickBot="1" x14ac:dyDescent="0.4">
      <c r="A37" s="9"/>
      <c r="B37" s="9"/>
      <c r="C37" s="9"/>
      <c r="D37" s="9"/>
      <c r="E37" s="9"/>
      <c r="F37" s="9"/>
      <c r="G37" s="9"/>
    </row>
    <row r="38" spans="1:7" ht="15" thickBot="1" x14ac:dyDescent="0.4">
      <c r="A38" s="9"/>
      <c r="B38" s="9"/>
      <c r="C38" s="9"/>
      <c r="D38" s="9"/>
      <c r="E38" s="9"/>
      <c r="F38" s="9"/>
      <c r="G38" s="9"/>
    </row>
  </sheetData>
  <hyperlinks>
    <hyperlink ref="B18" r:id="rId1" display="https://thermosystems.com/careers/?jobId=9ee099cc-cd27-4cbd-b6a7-66fd5c49cf79" xr:uid="{939A2BDB-87F3-4F32-9086-AF7E16576E40}"/>
    <hyperlink ref="B17" r:id="rId2" display="https://www.tesla.com/careers/search/job/internship-chassis-controls-technical-project-manager-vehicle-firmware-fall-2025-240866" xr:uid="{A8DEEDF8-F298-4591-A256-5243A668B289}"/>
    <hyperlink ref="B16" r:id="rId3" display="https://www.tesla.com/careers/search/job/internship-software-controls-engineer-optimus-fall-2025-241053" xr:uid="{1B6AE2B4-254F-4FB9-8F84-802CF46A7681}"/>
    <hyperlink ref="B15" r:id="rId4" display="http://tesla.com/careers/search/job/internship-motor-controls-engineer-vehicle-controls-fall-2025-243477" xr:uid="{F3CD9840-13E5-47E7-8AA6-4B7337A3C9BD}"/>
    <hyperlink ref="B14" r:id="rId5" display="https://www.tesla.com/careers/search/job/internship-controls-engineer-energy-engineering-fall-2025-243843" xr:uid="{DD6AF413-7F1A-43A7-A732-F0DEAFC6D804}"/>
    <hyperlink ref="B13" r:id="rId6" display="https://jobs.ashbyhq.com/reflect-orbital/a410d153-1177-48df-a166-e59fc18ce534" xr:uid="{0E78C1E7-5971-4D68-A08D-71FFC674F880}"/>
    <hyperlink ref="B11" r:id="rId7" location="jobopenings" display="https://fireflyspace.com/careers/?jobId=ee4a2e87-dc33-c12b-d025-085a77d1ca8c - jobopenings" xr:uid="{344F2513-4768-448E-93DA-3202AF660D94}"/>
    <hyperlink ref="B10" r:id="rId8" display="https://draper.wd5.myworkdayjobs.com/en-US/Draper_Careers/job/Cambridge-MA/System-Concepts-and-Design-Fall-2025-Co-op_JR001222" xr:uid="{FC66F1E1-7F44-4CE8-B815-ACEEB99C7E8F}"/>
    <hyperlink ref="B9" r:id="rId9" display="https://www.zipline.com/careers/open-roles/6587469003" xr:uid="{1A89186A-012D-4907-889F-B1371B3F6614}"/>
    <hyperlink ref="B8" r:id="rId10" display="https://www.zipline.com/careers/open-roles/6585980003" xr:uid="{31B3AF15-3160-4A23-AAF9-7FB124E0A4D1}"/>
    <hyperlink ref="B7" r:id="rId11" display="https://job-boards.greenhouse.io/vast/jobs/4443571006?gh_jid=4443571006" xr:uid="{3287E1D3-D8A8-437D-8A19-308D24B94A16}"/>
    <hyperlink ref="B6" r:id="rId12" display="https://job-boards.greenhouse.io/spacekinetic/jobs/4643522008" xr:uid="{773DF837-7213-42EA-BFE5-8A16B3AE8535}"/>
    <hyperlink ref="B5" r:id="rId13" display="https://blueorigin.wd5.myworkdayjobs.com/BlueOrigin/job/Seattle-WA/Spring-2026-Return-Internship---Graduate_R52465" xr:uid="{3E71D942-7433-4AB8-9329-5DDDCCCD86FA}"/>
    <hyperlink ref="B4" r:id="rId14" display="https://job-boards.greenhouse.io/astranis/jobs/4395411006" xr:uid="{D722E27F-BF40-4366-937A-066B9E60C80D}"/>
    <hyperlink ref="B3" r:id="rId15" display="https://job-boards.greenhouse.io/spacex/jobs/7907289002?gh_jid=7907289002" xr:uid="{ACEAFE90-4AD5-4C33-AF0C-1B95EE09BE1F}"/>
    <hyperlink ref="B2" r:id="rId16" display="https://merl.clearcompany.com/careers/jobs/71a24a8c-5774-a50a-9718-a3c2a8e4ef5e/apply" xr:uid="{9D503173-A761-4758-86A7-99F8B64F76AA}"/>
    <hyperlink ref="B19:B25" r:id="rId17" display="https://thermosystems.com/careers/?jobId=9ee099cc-cd27-4cbd-b6a7-66fd5c49cf79" xr:uid="{38570375-23EA-412C-8800-63BA5B8B493E}"/>
    <hyperlink ref="B26" r:id="rId18" xr:uid="{4816334D-8569-4258-9106-D73FAD0064E8}"/>
    <hyperlink ref="B27" r:id="rId19" xr:uid="{C3B09ED0-4443-4541-8801-0D2F1CADE3B4}"/>
    <hyperlink ref="B12" r:id="rId20" display="https://ats.rippling.com/orbital-operations/jobs/8d9c39db-89af-4ab5-9005-3ea26a438506" xr:uid="{5BA0B1BF-D9B5-4790-9DBF-6506FA2483C4}"/>
    <hyperlink ref="B28" r:id="rId21" xr:uid="{FF8A55F8-7BE1-4BD4-9BC6-F97781023900}"/>
    <hyperlink ref="B29" r:id="rId22" xr:uid="{C4B48B1C-EE4C-4BB0-BFA5-A96DE0C8B696}"/>
    <hyperlink ref="B30" r:id="rId23" xr:uid="{BABD99AF-FE10-46DD-A1E3-6C1B6CC57D29}"/>
    <hyperlink ref="B31" r:id="rId24" xr:uid="{FF852428-D98E-4682-A794-7E0902F0FB96}"/>
    <hyperlink ref="B32" r:id="rId25" xr:uid="{B2C50222-471B-4775-B8BC-58605165D307}"/>
  </hyperlinks>
  <pageMargins left="0.7" right="0.7" top="0.75" bottom="0.75" header="0.3" footer="0.3"/>
  <pageSetup orientation="portrait" horizontalDpi="1200" verticalDpi="1200"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7E36-577F-4CCF-A15A-7E93E9863B48}">
  <dimension ref="A1:I42"/>
  <sheetViews>
    <sheetView workbookViewId="0">
      <selection activeCell="G3" sqref="G3"/>
    </sheetView>
  </sheetViews>
  <sheetFormatPr defaultRowHeight="14.5" x14ac:dyDescent="0.35"/>
  <cols>
    <col min="1" max="1" width="12.36328125" bestFit="1" customWidth="1"/>
    <col min="2" max="2" width="54.54296875" customWidth="1"/>
    <col min="4" max="4" width="11.6328125" bestFit="1" customWidth="1"/>
    <col min="5" max="5" width="8.54296875" bestFit="1" customWidth="1"/>
    <col min="6" max="6" width="5.26953125" bestFit="1" customWidth="1"/>
    <col min="7" max="7" width="10.81640625" bestFit="1" customWidth="1"/>
    <col min="8" max="8" width="21.08984375" style="2" bestFit="1" customWidth="1"/>
    <col min="9" max="9" width="18.7265625" style="2" bestFit="1" customWidth="1"/>
  </cols>
  <sheetData>
    <row r="1" spans="1:9" ht="15" thickBot="1" x14ac:dyDescent="0.4">
      <c r="A1" s="14" t="s">
        <v>0</v>
      </c>
      <c r="B1" s="15" t="s">
        <v>9</v>
      </c>
      <c r="C1" s="15" t="s">
        <v>1</v>
      </c>
      <c r="D1" s="15" t="s">
        <v>10</v>
      </c>
      <c r="E1" s="15" t="s">
        <v>2</v>
      </c>
      <c r="F1" s="15" t="s">
        <v>3</v>
      </c>
      <c r="G1" s="16" t="s">
        <v>11</v>
      </c>
      <c r="H1" s="8" t="s">
        <v>57</v>
      </c>
      <c r="I1" s="8" t="s">
        <v>58</v>
      </c>
    </row>
    <row r="2" spans="1:9" ht="15" thickBot="1" x14ac:dyDescent="0.4">
      <c r="A2" s="17" t="s">
        <v>61</v>
      </c>
      <c r="B2" s="18" t="s">
        <v>62</v>
      </c>
      <c r="C2" s="19">
        <v>1</v>
      </c>
      <c r="D2" s="20">
        <v>45902</v>
      </c>
      <c r="E2" s="21">
        <v>0</v>
      </c>
      <c r="F2" s="17"/>
      <c r="G2" s="17"/>
      <c r="H2" s="2">
        <f>100*SUM(E:E)/SUM(C:C)</f>
        <v>36.363636363636367</v>
      </c>
      <c r="I2" s="2">
        <f>100*SUM(F:F)/SUM(C:C)</f>
        <v>9.0909090909090917</v>
      </c>
    </row>
    <row r="3" spans="1:9" ht="15" thickBot="1" x14ac:dyDescent="0.4">
      <c r="A3" s="17" t="s">
        <v>61</v>
      </c>
      <c r="B3" s="18" t="s">
        <v>63</v>
      </c>
      <c r="C3" s="19">
        <v>1</v>
      </c>
      <c r="D3" s="20">
        <v>45902</v>
      </c>
      <c r="E3" s="19">
        <v>1</v>
      </c>
      <c r="F3" s="19">
        <v>1</v>
      </c>
      <c r="G3" s="19">
        <v>1</v>
      </c>
      <c r="H3" s="8" t="s">
        <v>60</v>
      </c>
      <c r="I3" s="8" t="s">
        <v>59</v>
      </c>
    </row>
    <row r="4" spans="1:9" ht="15" thickBot="1" x14ac:dyDescent="0.4">
      <c r="A4" s="17" t="s">
        <v>61</v>
      </c>
      <c r="B4" s="18" t="s">
        <v>64</v>
      </c>
      <c r="C4" s="19">
        <v>1</v>
      </c>
      <c r="D4" s="20">
        <v>45902</v>
      </c>
      <c r="E4" s="21">
        <v>0</v>
      </c>
      <c r="F4" s="17"/>
      <c r="G4" s="17"/>
      <c r="H4" s="2">
        <f>SUM(C:C)</f>
        <v>11</v>
      </c>
      <c r="I4" s="2">
        <f>SUM(F:F)</f>
        <v>1</v>
      </c>
    </row>
    <row r="5" spans="1:9" ht="15" thickBot="1" x14ac:dyDescent="0.4">
      <c r="A5" s="17" t="s">
        <v>65</v>
      </c>
      <c r="B5" s="18" t="s">
        <v>66</v>
      </c>
      <c r="C5" s="19">
        <v>1</v>
      </c>
      <c r="D5" s="20">
        <v>45923</v>
      </c>
      <c r="E5" s="21">
        <v>0</v>
      </c>
      <c r="F5" s="17"/>
      <c r="G5" s="17"/>
      <c r="H5" s="8" t="s">
        <v>105</v>
      </c>
    </row>
    <row r="6" spans="1:9" ht="15" thickBot="1" x14ac:dyDescent="0.4">
      <c r="A6" s="17" t="s">
        <v>86</v>
      </c>
      <c r="B6" s="18" t="s">
        <v>85</v>
      </c>
      <c r="C6" s="19">
        <v>1</v>
      </c>
      <c r="D6" s="20">
        <v>45923</v>
      </c>
      <c r="E6" s="19">
        <v>1</v>
      </c>
      <c r="F6" s="17"/>
      <c r="G6" s="17"/>
      <c r="H6" s="2">
        <f>SUM(E:E)</f>
        <v>4</v>
      </c>
    </row>
    <row r="7" spans="1:9" ht="15" thickBot="1" x14ac:dyDescent="0.4">
      <c r="A7" s="17" t="s">
        <v>32</v>
      </c>
      <c r="B7" s="18" t="s">
        <v>31</v>
      </c>
      <c r="C7" s="19">
        <v>1</v>
      </c>
      <c r="D7" s="20">
        <v>45924</v>
      </c>
      <c r="E7" s="19">
        <v>1</v>
      </c>
      <c r="F7" s="17"/>
      <c r="G7" s="17"/>
    </row>
    <row r="8" spans="1:9" ht="15" thickBot="1" x14ac:dyDescent="0.4">
      <c r="A8" s="17" t="s">
        <v>91</v>
      </c>
      <c r="B8" s="18" t="s">
        <v>90</v>
      </c>
      <c r="C8" s="19">
        <v>1</v>
      </c>
      <c r="D8" s="20">
        <v>45925</v>
      </c>
      <c r="E8" s="21">
        <v>0</v>
      </c>
      <c r="F8" s="18"/>
      <c r="G8" s="18"/>
    </row>
    <row r="9" spans="1:9" ht="15" thickBot="1" x14ac:dyDescent="0.4">
      <c r="A9" s="17" t="s">
        <v>93</v>
      </c>
      <c r="B9" s="18" t="s">
        <v>92</v>
      </c>
      <c r="C9" s="19">
        <v>1</v>
      </c>
      <c r="D9" s="20">
        <v>45926</v>
      </c>
      <c r="E9" s="21">
        <v>0</v>
      </c>
      <c r="F9" s="17"/>
      <c r="G9" s="17"/>
    </row>
    <row r="10" spans="1:9" ht="15" thickBot="1" x14ac:dyDescent="0.4">
      <c r="A10" s="17" t="s">
        <v>99</v>
      </c>
      <c r="B10" s="18" t="s">
        <v>98</v>
      </c>
      <c r="C10" s="19">
        <v>1</v>
      </c>
      <c r="D10" s="20">
        <v>45931</v>
      </c>
      <c r="E10" s="21">
        <v>0</v>
      </c>
      <c r="F10" s="17"/>
      <c r="G10" s="17"/>
    </row>
    <row r="11" spans="1:9" ht="15" thickBot="1" x14ac:dyDescent="0.4">
      <c r="A11" s="17" t="s">
        <v>72</v>
      </c>
      <c r="B11" s="18" t="s">
        <v>73</v>
      </c>
      <c r="C11" s="19">
        <v>1</v>
      </c>
      <c r="D11" s="20">
        <v>45934</v>
      </c>
      <c r="E11" s="19">
        <v>1</v>
      </c>
      <c r="F11" s="17"/>
      <c r="G11" s="17"/>
    </row>
    <row r="12" spans="1:9" ht="15" thickBot="1" x14ac:dyDescent="0.4">
      <c r="A12" s="17" t="s">
        <v>74</v>
      </c>
      <c r="B12" s="18" t="s">
        <v>75</v>
      </c>
      <c r="C12" s="19">
        <v>1</v>
      </c>
      <c r="D12" s="20">
        <v>45934</v>
      </c>
      <c r="E12" s="21">
        <v>0</v>
      </c>
      <c r="F12" s="17"/>
      <c r="G12" s="17"/>
    </row>
    <row r="13" spans="1:9" ht="15" thickBot="1" x14ac:dyDescent="0.4">
      <c r="A13" s="17"/>
      <c r="B13" s="17"/>
      <c r="C13" s="17"/>
      <c r="D13" s="17"/>
      <c r="E13" s="17"/>
      <c r="F13" s="17"/>
      <c r="G13" s="17"/>
    </row>
    <row r="14" spans="1:9" ht="15" thickBot="1" x14ac:dyDescent="0.4">
      <c r="A14" s="17"/>
      <c r="B14" s="17"/>
      <c r="C14" s="17"/>
      <c r="D14" s="17"/>
      <c r="E14" s="17"/>
      <c r="F14" s="17"/>
      <c r="G14" s="17"/>
    </row>
    <row r="15" spans="1:9" ht="15" thickBot="1" x14ac:dyDescent="0.4">
      <c r="A15" s="17"/>
      <c r="B15" s="17"/>
      <c r="C15" s="17"/>
      <c r="D15" s="17"/>
      <c r="E15" s="17"/>
      <c r="F15" s="17"/>
      <c r="G15" s="17"/>
    </row>
    <row r="16" spans="1:9" ht="15" thickBot="1" x14ac:dyDescent="0.4">
      <c r="A16" s="17"/>
      <c r="B16" s="17"/>
      <c r="C16" s="17"/>
      <c r="D16" s="17"/>
      <c r="E16" s="17"/>
      <c r="F16" s="17"/>
      <c r="G16" s="17"/>
    </row>
    <row r="17" spans="1:7" ht="15" thickBot="1" x14ac:dyDescent="0.4">
      <c r="A17" s="17"/>
      <c r="B17" s="17"/>
      <c r="C17" s="17"/>
      <c r="D17" s="17"/>
      <c r="E17" s="17"/>
      <c r="F17" s="17"/>
      <c r="G17" s="17"/>
    </row>
    <row r="18" spans="1:7" ht="15" thickBot="1" x14ac:dyDescent="0.4">
      <c r="A18" s="17"/>
      <c r="B18" s="17"/>
      <c r="C18" s="17"/>
      <c r="D18" s="17"/>
      <c r="E18" s="17"/>
      <c r="F18" s="17"/>
      <c r="G18" s="17"/>
    </row>
    <row r="19" spans="1:7" ht="15" thickBot="1" x14ac:dyDescent="0.4">
      <c r="A19" s="17"/>
      <c r="B19" s="17"/>
      <c r="C19" s="17"/>
      <c r="D19" s="17"/>
      <c r="E19" s="17"/>
      <c r="F19" s="17"/>
      <c r="G19" s="17"/>
    </row>
    <row r="20" spans="1:7" ht="15" thickBot="1" x14ac:dyDescent="0.4">
      <c r="A20" s="17"/>
      <c r="B20" s="17"/>
      <c r="C20" s="17"/>
      <c r="D20" s="17"/>
      <c r="E20" s="17"/>
      <c r="F20" s="17"/>
      <c r="G20" s="17"/>
    </row>
    <row r="21" spans="1:7" ht="15" thickBot="1" x14ac:dyDescent="0.4">
      <c r="A21" s="17"/>
      <c r="B21" s="17"/>
      <c r="C21" s="17"/>
      <c r="D21" s="17"/>
      <c r="E21" s="17"/>
      <c r="F21" s="17"/>
      <c r="G21" s="17"/>
    </row>
    <row r="22" spans="1:7" ht="15" thickBot="1" x14ac:dyDescent="0.4">
      <c r="A22" s="17"/>
      <c r="B22" s="17"/>
      <c r="C22" s="17"/>
      <c r="D22" s="17"/>
      <c r="E22" s="17"/>
      <c r="F22" s="17"/>
      <c r="G22" s="17"/>
    </row>
    <row r="23" spans="1:7" ht="15" thickBot="1" x14ac:dyDescent="0.4">
      <c r="A23" s="17"/>
      <c r="B23" s="17"/>
      <c r="C23" s="17"/>
      <c r="D23" s="17"/>
      <c r="E23" s="17"/>
      <c r="F23" s="17"/>
      <c r="G23" s="17"/>
    </row>
    <row r="24" spans="1:7" ht="15" thickBot="1" x14ac:dyDescent="0.4">
      <c r="A24" s="17"/>
      <c r="B24" s="17"/>
      <c r="C24" s="17"/>
      <c r="D24" s="17"/>
      <c r="E24" s="17"/>
      <c r="F24" s="17"/>
      <c r="G24" s="17"/>
    </row>
    <row r="25" spans="1:7" ht="15" thickBot="1" x14ac:dyDescent="0.4">
      <c r="A25" s="17"/>
      <c r="B25" s="17"/>
      <c r="C25" s="17"/>
      <c r="D25" s="17"/>
      <c r="E25" s="17"/>
      <c r="F25" s="17"/>
      <c r="G25" s="17"/>
    </row>
    <row r="26" spans="1:7" ht="15" thickBot="1" x14ac:dyDescent="0.4">
      <c r="A26" s="17"/>
      <c r="B26" s="17"/>
      <c r="C26" s="17"/>
      <c r="D26" s="17"/>
      <c r="E26" s="17"/>
      <c r="F26" s="17"/>
      <c r="G26" s="17"/>
    </row>
    <row r="27" spans="1:7" ht="15" thickBot="1" x14ac:dyDescent="0.4">
      <c r="A27" s="17"/>
      <c r="B27" s="17"/>
      <c r="C27" s="17"/>
      <c r="D27" s="17"/>
      <c r="E27" s="17"/>
      <c r="F27" s="17"/>
      <c r="G27" s="17"/>
    </row>
    <row r="28" spans="1:7" ht="15" thickBot="1" x14ac:dyDescent="0.4">
      <c r="A28" s="17"/>
      <c r="B28" s="17"/>
      <c r="C28" s="17"/>
      <c r="D28" s="17"/>
      <c r="E28" s="17"/>
      <c r="F28" s="17"/>
      <c r="G28" s="17"/>
    </row>
    <row r="29" spans="1:7" ht="15" thickBot="1" x14ac:dyDescent="0.4">
      <c r="A29" s="17"/>
      <c r="B29" s="17"/>
      <c r="C29" s="17"/>
      <c r="D29" s="17"/>
      <c r="E29" s="17"/>
      <c r="F29" s="17"/>
      <c r="G29" s="17"/>
    </row>
    <row r="30" spans="1:7" ht="15" thickBot="1" x14ac:dyDescent="0.4">
      <c r="A30" s="17"/>
      <c r="B30" s="17"/>
      <c r="C30" s="17"/>
      <c r="D30" s="17"/>
      <c r="E30" s="17"/>
      <c r="F30" s="17"/>
      <c r="G30" s="17"/>
    </row>
    <row r="31" spans="1:7" ht="15" thickBot="1" x14ac:dyDescent="0.4">
      <c r="A31" s="17"/>
      <c r="B31" s="17"/>
      <c r="C31" s="17"/>
      <c r="D31" s="17"/>
      <c r="E31" s="17"/>
      <c r="F31" s="17"/>
      <c r="G31" s="17"/>
    </row>
    <row r="32" spans="1:7" ht="15" thickBot="1" x14ac:dyDescent="0.4">
      <c r="A32" s="17"/>
      <c r="B32" s="17"/>
      <c r="C32" s="17"/>
      <c r="D32" s="17"/>
      <c r="E32" s="17"/>
      <c r="F32" s="17"/>
      <c r="G32" s="17"/>
    </row>
    <row r="33" spans="1:7" ht="15" thickBot="1" x14ac:dyDescent="0.4">
      <c r="A33" s="17"/>
      <c r="B33" s="17"/>
      <c r="C33" s="17"/>
      <c r="D33" s="17"/>
      <c r="E33" s="17"/>
      <c r="F33" s="17"/>
      <c r="G33" s="17"/>
    </row>
    <row r="34" spans="1:7" ht="15" thickBot="1" x14ac:dyDescent="0.4">
      <c r="A34" s="17"/>
      <c r="B34" s="17"/>
      <c r="C34" s="17"/>
      <c r="D34" s="17"/>
      <c r="E34" s="17"/>
      <c r="F34" s="17"/>
      <c r="G34" s="17"/>
    </row>
    <row r="35" spans="1:7" ht="15" thickBot="1" x14ac:dyDescent="0.4">
      <c r="A35" s="17"/>
      <c r="B35" s="17"/>
      <c r="C35" s="17"/>
      <c r="D35" s="17"/>
      <c r="E35" s="17"/>
      <c r="F35" s="17"/>
      <c r="G35" s="17"/>
    </row>
    <row r="36" spans="1:7" ht="15" thickBot="1" x14ac:dyDescent="0.4">
      <c r="A36" s="17"/>
      <c r="B36" s="17"/>
      <c r="C36" s="17"/>
      <c r="D36" s="17"/>
      <c r="E36" s="17"/>
      <c r="F36" s="17"/>
      <c r="G36" s="17"/>
    </row>
    <row r="37" spans="1:7" ht="15" thickBot="1" x14ac:dyDescent="0.4">
      <c r="A37" s="17"/>
      <c r="B37" s="17"/>
      <c r="C37" s="17"/>
      <c r="D37" s="17"/>
      <c r="E37" s="17"/>
      <c r="F37" s="17"/>
      <c r="G37" s="17"/>
    </row>
    <row r="38" spans="1:7" ht="15" thickBot="1" x14ac:dyDescent="0.4">
      <c r="A38" s="17"/>
      <c r="B38" s="17"/>
      <c r="C38" s="17"/>
      <c r="D38" s="17"/>
      <c r="E38" s="17"/>
      <c r="F38" s="17"/>
      <c r="G38" s="17"/>
    </row>
    <row r="39" spans="1:7" ht="15" thickBot="1" x14ac:dyDescent="0.4">
      <c r="A39" s="17"/>
      <c r="B39" s="17"/>
      <c r="C39" s="17"/>
      <c r="D39" s="17"/>
      <c r="E39" s="17"/>
      <c r="F39" s="17"/>
      <c r="G39" s="17"/>
    </row>
    <row r="40" spans="1:7" ht="15" thickBot="1" x14ac:dyDescent="0.4">
      <c r="A40" s="17"/>
      <c r="B40" s="17"/>
      <c r="C40" s="17"/>
      <c r="D40" s="17"/>
      <c r="E40" s="17"/>
      <c r="F40" s="17"/>
      <c r="G40" s="17"/>
    </row>
    <row r="41" spans="1:7" ht="15" thickBot="1" x14ac:dyDescent="0.4">
      <c r="A41" s="17"/>
      <c r="B41" s="17"/>
      <c r="C41" s="17"/>
      <c r="D41" s="17"/>
      <c r="E41" s="17"/>
      <c r="F41" s="17"/>
      <c r="G41" s="17"/>
    </row>
    <row r="42" spans="1:7" ht="15" thickBot="1" x14ac:dyDescent="0.4">
      <c r="A42" s="17"/>
      <c r="B42" s="17"/>
      <c r="C42" s="17"/>
      <c r="D42" s="17"/>
      <c r="E42" s="17"/>
      <c r="F42" s="17"/>
      <c r="G42" s="17"/>
    </row>
  </sheetData>
  <hyperlinks>
    <hyperlink ref="B2" r:id="rId1" xr:uid="{DB3431C2-2A27-4BFA-98C1-BBC0A9DE9097}"/>
    <hyperlink ref="B3" r:id="rId2" xr:uid="{54B1B0BB-CA1A-4791-BA05-93341442D8B2}"/>
    <hyperlink ref="B4" r:id="rId3" xr:uid="{39FB14AD-4F2C-4C72-B805-A17EA6F01E27}"/>
    <hyperlink ref="B5" r:id="rId4" location="jobopenings" xr:uid="{5710F4E4-D945-4233-9AED-4A8872E0F547}"/>
    <hyperlink ref="B11" r:id="rId5" xr:uid="{060CDB43-B92B-42FC-A439-B13341915E3E}"/>
    <hyperlink ref="B12" r:id="rId6" xr:uid="{71856046-CC13-444F-85FE-3C6B29991BCA}"/>
    <hyperlink ref="B6" r:id="rId7" xr:uid="{57DB3993-1C06-41DD-B700-749E8DF154F5}"/>
    <hyperlink ref="B7" r:id="rId8" xr:uid="{E32BA8B3-0345-4D80-A929-8938D9E1A981}"/>
    <hyperlink ref="B8" r:id="rId9" xr:uid="{6F6C53CE-B5B0-4B1F-827B-BF333E73A649}"/>
    <hyperlink ref="B9" r:id="rId10" xr:uid="{0AD36ED9-F961-46E3-BA5C-39BF3741F68A}"/>
    <hyperlink ref="B10" r:id="rId11" xr:uid="{5EDDD97F-AD2A-46DE-8559-8FEFC7A064C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DC358-AE57-4406-AD58-BCD1B1BBA41C}">
  <dimension ref="A1:I43"/>
  <sheetViews>
    <sheetView topLeftCell="A14" workbookViewId="0">
      <selection activeCell="H36" sqref="H36"/>
    </sheetView>
  </sheetViews>
  <sheetFormatPr defaultRowHeight="14.5" x14ac:dyDescent="0.35"/>
  <cols>
    <col min="1" max="1" width="13.08984375" customWidth="1"/>
    <col min="2" max="2" width="82" customWidth="1"/>
    <col min="4" max="4" width="13.36328125" customWidth="1"/>
    <col min="7" max="7" width="11.54296875" customWidth="1"/>
    <col min="8" max="8" width="21.08984375" style="2" bestFit="1" customWidth="1"/>
    <col min="9" max="9" width="18.7265625" style="2" bestFit="1" customWidth="1"/>
  </cols>
  <sheetData>
    <row r="1" spans="1:9" ht="15" thickBot="1" x14ac:dyDescent="0.4">
      <c r="A1" s="14" t="s">
        <v>0</v>
      </c>
      <c r="B1" s="15" t="s">
        <v>9</v>
      </c>
      <c r="C1" s="15" t="s">
        <v>1</v>
      </c>
      <c r="D1" s="15" t="s">
        <v>10</v>
      </c>
      <c r="E1" s="15" t="s">
        <v>2</v>
      </c>
      <c r="F1" s="15" t="s">
        <v>3</v>
      </c>
      <c r="G1" s="16" t="s">
        <v>11</v>
      </c>
      <c r="H1" s="8" t="s">
        <v>57</v>
      </c>
      <c r="I1" s="8" t="s">
        <v>58</v>
      </c>
    </row>
    <row r="2" spans="1:9" ht="15" thickBot="1" x14ac:dyDescent="0.4">
      <c r="A2" s="17" t="s">
        <v>71</v>
      </c>
      <c r="B2" s="18" t="s">
        <v>78</v>
      </c>
      <c r="C2" s="19">
        <v>1</v>
      </c>
      <c r="D2" s="20">
        <v>45923</v>
      </c>
      <c r="E2" s="21">
        <v>0</v>
      </c>
      <c r="F2" s="21">
        <v>0</v>
      </c>
      <c r="G2" s="17"/>
      <c r="H2" s="2">
        <f>100*SUM(E:E)/SUM(C:C)</f>
        <v>12.5</v>
      </c>
      <c r="I2" s="2">
        <f>100*SUM(F:F)/SUM(C:C)</f>
        <v>5</v>
      </c>
    </row>
    <row r="3" spans="1:9" ht="15" thickBot="1" x14ac:dyDescent="0.4">
      <c r="A3" s="17" t="s">
        <v>71</v>
      </c>
      <c r="B3" s="18" t="s">
        <v>79</v>
      </c>
      <c r="C3" s="19">
        <v>1</v>
      </c>
      <c r="D3" s="20">
        <v>45923</v>
      </c>
      <c r="E3" s="21">
        <v>0</v>
      </c>
      <c r="F3" s="21">
        <v>0</v>
      </c>
      <c r="G3" s="17"/>
      <c r="H3" s="8" t="s">
        <v>60</v>
      </c>
      <c r="I3" s="8" t="s">
        <v>59</v>
      </c>
    </row>
    <row r="4" spans="1:9" ht="15" thickBot="1" x14ac:dyDescent="0.4">
      <c r="A4" s="17" t="s">
        <v>71</v>
      </c>
      <c r="B4" s="18" t="s">
        <v>77</v>
      </c>
      <c r="C4" s="19">
        <v>1</v>
      </c>
      <c r="D4" s="20">
        <v>45923</v>
      </c>
      <c r="E4" s="21">
        <v>0</v>
      </c>
      <c r="F4" s="21">
        <v>0</v>
      </c>
      <c r="G4" s="17"/>
      <c r="H4" s="2">
        <f>SUM(C:C)</f>
        <v>40</v>
      </c>
      <c r="I4" s="2">
        <f>SUM(F:F)</f>
        <v>2</v>
      </c>
    </row>
    <row r="5" spans="1:9" ht="15" thickBot="1" x14ac:dyDescent="0.4">
      <c r="A5" s="17" t="s">
        <v>71</v>
      </c>
      <c r="B5" s="18" t="s">
        <v>70</v>
      </c>
      <c r="C5" s="19">
        <v>1</v>
      </c>
      <c r="D5" s="20">
        <v>45923</v>
      </c>
      <c r="E5" s="21">
        <v>0</v>
      </c>
      <c r="F5" s="21">
        <v>0</v>
      </c>
      <c r="G5" s="17"/>
      <c r="H5" s="8" t="s">
        <v>105</v>
      </c>
    </row>
    <row r="6" spans="1:9" ht="15" thickBot="1" x14ac:dyDescent="0.4">
      <c r="A6" s="17" t="s">
        <v>71</v>
      </c>
      <c r="B6" s="18" t="s">
        <v>76</v>
      </c>
      <c r="C6" s="19">
        <v>1</v>
      </c>
      <c r="D6" s="20">
        <v>45923</v>
      </c>
      <c r="E6" s="21">
        <v>0</v>
      </c>
      <c r="F6" s="21">
        <v>0</v>
      </c>
      <c r="G6" s="17"/>
      <c r="H6" s="2">
        <f>SUM(E:E)</f>
        <v>5</v>
      </c>
    </row>
    <row r="7" spans="1:9" ht="15" thickBot="1" x14ac:dyDescent="0.4">
      <c r="A7" s="17" t="s">
        <v>71</v>
      </c>
      <c r="B7" s="18" t="s">
        <v>82</v>
      </c>
      <c r="C7" s="19">
        <v>1</v>
      </c>
      <c r="D7" s="20">
        <v>45923</v>
      </c>
      <c r="E7" s="21">
        <v>0</v>
      </c>
      <c r="F7" s="21">
        <v>0</v>
      </c>
      <c r="G7" s="17"/>
    </row>
    <row r="8" spans="1:9" ht="15" thickBot="1" x14ac:dyDescent="0.4">
      <c r="A8" s="17" t="s">
        <v>67</v>
      </c>
      <c r="B8" s="18" t="s">
        <v>66</v>
      </c>
      <c r="C8" s="19">
        <v>1</v>
      </c>
      <c r="D8" s="20">
        <v>45923</v>
      </c>
      <c r="E8" s="21">
        <v>0</v>
      </c>
      <c r="F8" s="21">
        <v>0</v>
      </c>
      <c r="G8" s="17"/>
    </row>
    <row r="9" spans="1:9" ht="15" thickBot="1" x14ac:dyDescent="0.4">
      <c r="A9" s="17" t="s">
        <v>81</v>
      </c>
      <c r="B9" s="18" t="s">
        <v>80</v>
      </c>
      <c r="C9" s="19">
        <v>1</v>
      </c>
      <c r="D9" s="20">
        <v>45923</v>
      </c>
      <c r="E9" s="21">
        <v>0</v>
      </c>
      <c r="F9" s="21">
        <v>0</v>
      </c>
      <c r="G9" s="17"/>
    </row>
    <row r="10" spans="1:9" ht="15" thickBot="1" x14ac:dyDescent="0.4">
      <c r="A10" s="17" t="s">
        <v>68</v>
      </c>
      <c r="B10" s="18" t="s">
        <v>69</v>
      </c>
      <c r="C10" s="19">
        <v>1</v>
      </c>
      <c r="D10" s="20">
        <v>45924</v>
      </c>
      <c r="E10" s="21">
        <v>0</v>
      </c>
      <c r="F10" s="21">
        <v>0</v>
      </c>
      <c r="G10" s="17"/>
    </row>
    <row r="11" spans="1:9" ht="15" thickBot="1" x14ac:dyDescent="0.4">
      <c r="A11" s="17" t="s">
        <v>88</v>
      </c>
      <c r="B11" s="18" t="s">
        <v>87</v>
      </c>
      <c r="C11" s="19">
        <v>1</v>
      </c>
      <c r="D11" s="20">
        <v>45924</v>
      </c>
      <c r="E11" s="21">
        <v>0</v>
      </c>
      <c r="F11" s="21">
        <v>0</v>
      </c>
      <c r="G11" s="17"/>
    </row>
    <row r="12" spans="1:9" ht="15" thickBot="1" x14ac:dyDescent="0.4">
      <c r="A12" s="17" t="s">
        <v>88</v>
      </c>
      <c r="B12" s="18" t="s">
        <v>89</v>
      </c>
      <c r="C12" s="19">
        <v>1</v>
      </c>
      <c r="D12" s="20">
        <v>45924</v>
      </c>
      <c r="E12" s="21">
        <v>0</v>
      </c>
      <c r="F12" s="21">
        <v>0</v>
      </c>
      <c r="G12" s="17"/>
    </row>
    <row r="13" spans="1:9" ht="15" thickBot="1" x14ac:dyDescent="0.4">
      <c r="A13" s="17" t="s">
        <v>93</v>
      </c>
      <c r="B13" s="18" t="s">
        <v>92</v>
      </c>
      <c r="C13" s="19">
        <v>1</v>
      </c>
      <c r="D13" s="20">
        <v>45926</v>
      </c>
      <c r="E13" s="21">
        <v>0</v>
      </c>
      <c r="F13" s="21">
        <v>0</v>
      </c>
      <c r="G13" s="17"/>
    </row>
    <row r="14" spans="1:9" ht="15" thickBot="1" x14ac:dyDescent="0.4">
      <c r="A14" s="17" t="s">
        <v>71</v>
      </c>
      <c r="B14" s="18" t="s">
        <v>94</v>
      </c>
      <c r="C14" s="19">
        <v>1</v>
      </c>
      <c r="D14" s="20">
        <v>45929</v>
      </c>
      <c r="E14" s="21">
        <v>0</v>
      </c>
      <c r="F14" s="21">
        <v>0</v>
      </c>
      <c r="G14" s="17"/>
    </row>
    <row r="15" spans="1:9" ht="15" thickBot="1" x14ac:dyDescent="0.4">
      <c r="A15" s="17" t="s">
        <v>71</v>
      </c>
      <c r="B15" s="18" t="s">
        <v>95</v>
      </c>
      <c r="C15" s="19">
        <v>1</v>
      </c>
      <c r="D15" s="20">
        <v>45929</v>
      </c>
      <c r="E15" s="21">
        <v>0</v>
      </c>
      <c r="F15" s="21">
        <v>0</v>
      </c>
      <c r="G15" s="17"/>
    </row>
    <row r="16" spans="1:9" ht="15" thickBot="1" x14ac:dyDescent="0.4">
      <c r="A16" s="17" t="s">
        <v>84</v>
      </c>
      <c r="B16" s="18" t="s">
        <v>83</v>
      </c>
      <c r="C16" s="19">
        <v>1</v>
      </c>
      <c r="D16" s="20">
        <v>45930</v>
      </c>
      <c r="E16" s="21">
        <v>0</v>
      </c>
      <c r="F16" s="21">
        <v>0</v>
      </c>
      <c r="G16" s="17"/>
    </row>
    <row r="17" spans="1:7" ht="15" thickBot="1" x14ac:dyDescent="0.4">
      <c r="A17" s="17" t="s">
        <v>97</v>
      </c>
      <c r="B17" s="18" t="s">
        <v>96</v>
      </c>
      <c r="C17" s="19">
        <v>1</v>
      </c>
      <c r="D17" s="20">
        <v>45930</v>
      </c>
      <c r="E17" s="19">
        <v>1</v>
      </c>
      <c r="F17" s="21">
        <v>0</v>
      </c>
      <c r="G17" s="17"/>
    </row>
    <row r="18" spans="1:7" ht="15" thickBot="1" x14ac:dyDescent="0.4">
      <c r="A18" s="17" t="s">
        <v>65</v>
      </c>
      <c r="B18" s="18" t="s">
        <v>100</v>
      </c>
      <c r="C18" s="19">
        <v>1</v>
      </c>
      <c r="D18" s="20">
        <v>45931</v>
      </c>
      <c r="E18" s="21">
        <v>0</v>
      </c>
      <c r="F18" s="21">
        <v>0</v>
      </c>
      <c r="G18" s="17"/>
    </row>
    <row r="19" spans="1:7" ht="15" thickBot="1" x14ac:dyDescent="0.4">
      <c r="A19" s="17" t="s">
        <v>71</v>
      </c>
      <c r="B19" s="18" t="s">
        <v>101</v>
      </c>
      <c r="C19" s="19">
        <v>1</v>
      </c>
      <c r="D19" s="20">
        <v>45933</v>
      </c>
      <c r="E19" s="21">
        <v>0</v>
      </c>
      <c r="F19" s="21">
        <v>0</v>
      </c>
      <c r="G19" s="17"/>
    </row>
    <row r="20" spans="1:7" ht="15" thickBot="1" x14ac:dyDescent="0.4">
      <c r="A20" s="17" t="s">
        <v>72</v>
      </c>
      <c r="B20" s="18" t="s">
        <v>73</v>
      </c>
      <c r="C20" s="19">
        <v>1</v>
      </c>
      <c r="D20" s="20">
        <v>45934</v>
      </c>
      <c r="E20" s="21">
        <v>0</v>
      </c>
      <c r="F20" s="21">
        <v>0</v>
      </c>
      <c r="G20" s="17"/>
    </row>
    <row r="21" spans="1:7" ht="15" thickBot="1" x14ac:dyDescent="0.4">
      <c r="A21" s="17" t="s">
        <v>74</v>
      </c>
      <c r="B21" s="18" t="s">
        <v>102</v>
      </c>
      <c r="C21" s="19">
        <v>1</v>
      </c>
      <c r="D21" s="20">
        <v>45935</v>
      </c>
      <c r="E21" s="19">
        <v>1</v>
      </c>
      <c r="F21" s="21">
        <v>0</v>
      </c>
      <c r="G21" s="17"/>
    </row>
    <row r="22" spans="1:7" ht="15" thickBot="1" x14ac:dyDescent="0.4">
      <c r="A22" s="17" t="s">
        <v>103</v>
      </c>
      <c r="B22" s="18" t="s">
        <v>104</v>
      </c>
      <c r="C22" s="19">
        <v>1</v>
      </c>
      <c r="D22" s="20">
        <v>45937</v>
      </c>
      <c r="E22" s="21">
        <v>0</v>
      </c>
      <c r="F22" s="21">
        <v>0</v>
      </c>
      <c r="G22" s="17"/>
    </row>
    <row r="23" spans="1:7" ht="15" thickBot="1" x14ac:dyDescent="0.4">
      <c r="A23" s="17" t="s">
        <v>71</v>
      </c>
      <c r="B23" s="18" t="s">
        <v>106</v>
      </c>
      <c r="C23" s="19">
        <v>1</v>
      </c>
      <c r="D23" s="20">
        <v>45967</v>
      </c>
      <c r="E23" s="21">
        <v>0</v>
      </c>
      <c r="F23" s="21">
        <v>0</v>
      </c>
      <c r="G23" s="17"/>
    </row>
    <row r="24" spans="1:7" ht="15" thickBot="1" x14ac:dyDescent="0.4">
      <c r="A24" s="17" t="s">
        <v>107</v>
      </c>
      <c r="B24" s="18" t="s">
        <v>108</v>
      </c>
      <c r="C24" s="19">
        <v>1</v>
      </c>
      <c r="D24" s="20">
        <v>45987</v>
      </c>
      <c r="E24" s="19">
        <v>1</v>
      </c>
      <c r="F24" s="21">
        <v>0</v>
      </c>
      <c r="G24" s="17"/>
    </row>
    <row r="25" spans="1:7" ht="15" thickBot="1" x14ac:dyDescent="0.4">
      <c r="A25" s="17" t="s">
        <v>109</v>
      </c>
      <c r="B25" s="18" t="s">
        <v>110</v>
      </c>
      <c r="C25" s="19">
        <v>1</v>
      </c>
      <c r="D25" s="20">
        <v>45987</v>
      </c>
      <c r="E25" s="21">
        <v>0</v>
      </c>
      <c r="F25" s="21">
        <v>0</v>
      </c>
      <c r="G25" s="17"/>
    </row>
    <row r="26" spans="1:7" ht="15" thickBot="1" x14ac:dyDescent="0.4">
      <c r="A26" s="17" t="s">
        <v>111</v>
      </c>
      <c r="B26" s="18" t="s">
        <v>112</v>
      </c>
      <c r="C26" s="19">
        <v>1</v>
      </c>
      <c r="D26" s="20">
        <v>45987</v>
      </c>
      <c r="E26" s="21">
        <v>0</v>
      </c>
      <c r="F26" s="21">
        <v>0</v>
      </c>
      <c r="G26" s="17"/>
    </row>
    <row r="27" spans="1:7" ht="15" thickBot="1" x14ac:dyDescent="0.4">
      <c r="A27" s="17" t="s">
        <v>114</v>
      </c>
      <c r="B27" s="18" t="s">
        <v>113</v>
      </c>
      <c r="C27" s="19">
        <v>1</v>
      </c>
      <c r="D27" s="20">
        <v>45987</v>
      </c>
      <c r="E27" s="21">
        <v>0</v>
      </c>
      <c r="F27" s="21">
        <v>0</v>
      </c>
      <c r="G27" s="17"/>
    </row>
    <row r="28" spans="1:7" ht="15" thickBot="1" x14ac:dyDescent="0.4">
      <c r="A28" s="17" t="s">
        <v>114</v>
      </c>
      <c r="B28" s="18" t="s">
        <v>115</v>
      </c>
      <c r="C28" s="19">
        <v>1</v>
      </c>
      <c r="D28" s="20">
        <v>45987</v>
      </c>
      <c r="E28" s="21">
        <v>0</v>
      </c>
      <c r="F28" s="21">
        <v>0</v>
      </c>
      <c r="G28" s="17"/>
    </row>
    <row r="29" spans="1:7" ht="15" thickBot="1" x14ac:dyDescent="0.4">
      <c r="A29" s="17" t="s">
        <v>71</v>
      </c>
      <c r="B29" s="18" t="s">
        <v>116</v>
      </c>
      <c r="C29" s="19">
        <v>1</v>
      </c>
      <c r="D29" s="20">
        <v>45999</v>
      </c>
      <c r="E29" s="21">
        <v>0</v>
      </c>
      <c r="F29" s="21">
        <v>0</v>
      </c>
      <c r="G29" s="17"/>
    </row>
    <row r="30" spans="1:7" ht="15" thickBot="1" x14ac:dyDescent="0.4">
      <c r="A30" s="17" t="s">
        <v>71</v>
      </c>
      <c r="B30" s="18" t="s">
        <v>117</v>
      </c>
      <c r="C30" s="19">
        <v>1</v>
      </c>
      <c r="D30" s="20">
        <v>45999</v>
      </c>
      <c r="E30" s="21">
        <v>0</v>
      </c>
      <c r="F30" s="21">
        <v>0</v>
      </c>
      <c r="G30" s="17"/>
    </row>
    <row r="31" spans="1:7" ht="15" thickBot="1" x14ac:dyDescent="0.4">
      <c r="A31" s="17" t="s">
        <v>119</v>
      </c>
      <c r="B31" s="18" t="s">
        <v>118</v>
      </c>
      <c r="C31" s="19">
        <v>1</v>
      </c>
      <c r="D31" s="20">
        <v>46001</v>
      </c>
      <c r="E31" s="21">
        <v>0</v>
      </c>
      <c r="F31" s="21">
        <v>0</v>
      </c>
      <c r="G31" s="17"/>
    </row>
    <row r="32" spans="1:7" ht="15" thickBot="1" x14ac:dyDescent="0.4">
      <c r="A32" s="17" t="s">
        <v>107</v>
      </c>
      <c r="B32" s="18" t="s">
        <v>120</v>
      </c>
      <c r="C32" s="19">
        <v>1</v>
      </c>
      <c r="D32" s="20">
        <v>46001</v>
      </c>
      <c r="E32" s="21">
        <v>0</v>
      </c>
      <c r="F32" s="21">
        <v>0</v>
      </c>
      <c r="G32" s="17"/>
    </row>
    <row r="33" spans="1:7" ht="15" thickBot="1" x14ac:dyDescent="0.4">
      <c r="A33" s="17" t="s">
        <v>121</v>
      </c>
      <c r="B33" s="18" t="s">
        <v>122</v>
      </c>
      <c r="C33" s="19">
        <v>1</v>
      </c>
      <c r="D33" s="20">
        <v>46001</v>
      </c>
      <c r="E33" s="19">
        <v>1</v>
      </c>
      <c r="F33" s="19">
        <v>1</v>
      </c>
      <c r="G33" s="17"/>
    </row>
    <row r="34" spans="1:7" ht="15" thickBot="1" x14ac:dyDescent="0.4">
      <c r="A34" s="17" t="s">
        <v>121</v>
      </c>
      <c r="B34" s="18" t="s">
        <v>128</v>
      </c>
      <c r="C34" s="19">
        <v>1</v>
      </c>
      <c r="D34" s="20">
        <v>46001</v>
      </c>
      <c r="E34" s="21">
        <v>0</v>
      </c>
      <c r="F34" s="21">
        <v>0</v>
      </c>
      <c r="G34" s="17"/>
    </row>
    <row r="35" spans="1:7" ht="15" thickBot="1" x14ac:dyDescent="0.4">
      <c r="A35" s="17" t="s">
        <v>121</v>
      </c>
      <c r="B35" s="18" t="s">
        <v>131</v>
      </c>
      <c r="C35" s="19">
        <v>1</v>
      </c>
      <c r="D35" s="20">
        <v>46001</v>
      </c>
      <c r="E35" s="21">
        <v>0</v>
      </c>
      <c r="F35" s="21">
        <v>0</v>
      </c>
      <c r="G35" s="17"/>
    </row>
    <row r="36" spans="1:7" ht="15" thickBot="1" x14ac:dyDescent="0.4">
      <c r="A36" s="17" t="s">
        <v>121</v>
      </c>
      <c r="B36" s="18" t="s">
        <v>134</v>
      </c>
      <c r="C36" s="19">
        <v>1</v>
      </c>
      <c r="D36" s="20">
        <v>46001</v>
      </c>
      <c r="E36" s="21">
        <v>0</v>
      </c>
      <c r="F36" s="21">
        <v>0</v>
      </c>
      <c r="G36" s="17"/>
    </row>
    <row r="37" spans="1:7" ht="15" thickBot="1" x14ac:dyDescent="0.4">
      <c r="A37" s="17" t="s">
        <v>121</v>
      </c>
      <c r="B37" s="18" t="s">
        <v>137</v>
      </c>
      <c r="C37" s="19">
        <v>1</v>
      </c>
      <c r="D37" s="20">
        <v>46001</v>
      </c>
      <c r="E37" s="21">
        <v>0</v>
      </c>
      <c r="F37" s="21">
        <v>0</v>
      </c>
      <c r="G37" s="17"/>
    </row>
    <row r="38" spans="1:7" ht="15" thickBot="1" x14ac:dyDescent="0.4">
      <c r="A38" s="17" t="s">
        <v>121</v>
      </c>
      <c r="B38" s="18" t="s">
        <v>148</v>
      </c>
      <c r="C38" s="19">
        <v>1</v>
      </c>
      <c r="D38" s="20">
        <v>46001</v>
      </c>
      <c r="E38" s="21">
        <v>0</v>
      </c>
      <c r="F38" s="21">
        <v>0</v>
      </c>
      <c r="G38" s="17"/>
    </row>
    <row r="39" spans="1:7" ht="15" thickBot="1" x14ac:dyDescent="0.4">
      <c r="A39" s="17" t="s">
        <v>121</v>
      </c>
      <c r="B39" s="18" t="s">
        <v>150</v>
      </c>
      <c r="C39" s="19">
        <v>1</v>
      </c>
      <c r="D39" s="20">
        <v>46001</v>
      </c>
      <c r="E39" s="19">
        <v>1</v>
      </c>
      <c r="F39" s="19">
        <v>1</v>
      </c>
      <c r="G39" s="17"/>
    </row>
    <row r="40" spans="1:7" ht="15" thickBot="1" x14ac:dyDescent="0.4">
      <c r="A40" s="17" t="s">
        <v>121</v>
      </c>
      <c r="B40" s="18" t="s">
        <v>152</v>
      </c>
      <c r="C40" s="19">
        <v>1</v>
      </c>
      <c r="D40" s="20">
        <v>46001</v>
      </c>
      <c r="E40" s="21">
        <v>0</v>
      </c>
      <c r="F40" s="21">
        <v>0</v>
      </c>
      <c r="G40" s="17"/>
    </row>
    <row r="41" spans="1:7" ht="15" thickBot="1" x14ac:dyDescent="0.4">
      <c r="A41" s="17" t="s">
        <v>71</v>
      </c>
      <c r="B41" s="18" t="s">
        <v>155</v>
      </c>
      <c r="C41" s="19">
        <v>1</v>
      </c>
      <c r="D41" s="20">
        <v>46039</v>
      </c>
      <c r="E41" s="21">
        <v>0</v>
      </c>
      <c r="F41" s="21">
        <v>0</v>
      </c>
      <c r="G41" s="17"/>
    </row>
    <row r="42" spans="1:7" ht="15" thickBot="1" x14ac:dyDescent="0.4">
      <c r="A42" s="17"/>
      <c r="B42" s="17"/>
      <c r="C42" s="17"/>
      <c r="D42" s="17"/>
      <c r="E42" s="17"/>
      <c r="F42" s="17"/>
      <c r="G42" s="17"/>
    </row>
    <row r="43" spans="1:7" ht="15" thickBot="1" x14ac:dyDescent="0.4">
      <c r="A43" s="17"/>
      <c r="B43" s="17"/>
      <c r="C43" s="17"/>
      <c r="D43" s="17"/>
      <c r="E43" s="17"/>
      <c r="F43" s="17"/>
      <c r="G43" s="17"/>
    </row>
  </sheetData>
  <hyperlinks>
    <hyperlink ref="B2" r:id="rId1" xr:uid="{65516654-4B3C-471C-A625-3BF235314F9A}"/>
    <hyperlink ref="B3" r:id="rId2" xr:uid="{224D4B3D-E82E-4B15-9423-539BFD8B9515}"/>
    <hyperlink ref="B4" r:id="rId3" xr:uid="{A6DE6E64-E488-465B-A0C5-0C16E1BEC1DF}"/>
    <hyperlink ref="B5" r:id="rId4" xr:uid="{F404176A-E4D7-4A46-89A2-DA32651C939C}"/>
    <hyperlink ref="B6" r:id="rId5" xr:uid="{6EEBC9C6-60D3-4ADD-A3CB-A0615F81D0BC}"/>
    <hyperlink ref="B8" r:id="rId6" xr:uid="{A022AB0D-A7AA-46B2-A73B-39341EBEAD7C}"/>
    <hyperlink ref="B7" r:id="rId7" xr:uid="{5F3E54D5-859C-45C5-A8D9-297779DDA797}"/>
    <hyperlink ref="B16" r:id="rId8" xr:uid="{143F0765-DF28-471B-8D3A-CE610EB17DFD}"/>
    <hyperlink ref="B11" r:id="rId9" xr:uid="{7A08AC69-6B92-4356-90DB-5EAE32F40529}"/>
    <hyperlink ref="B12" r:id="rId10" xr:uid="{EFA622C7-ACD9-4B6E-9975-F370FDAB3F7D}"/>
    <hyperlink ref="B9" r:id="rId11" xr:uid="{D7100AAD-6E23-4005-89A2-72EB7558F570}"/>
    <hyperlink ref="B10" r:id="rId12" xr:uid="{149ECCB6-01DA-465B-B56E-883D29936924}"/>
    <hyperlink ref="B13" r:id="rId13" xr:uid="{4FFE44E0-0931-47A8-845E-ED8E1BD917C5}"/>
    <hyperlink ref="B14" r:id="rId14" xr:uid="{97A4AE2D-75C0-4E08-B95F-BCDCC3BF1BDD}"/>
    <hyperlink ref="B15" r:id="rId15" xr:uid="{D1169158-49D0-4677-BFB3-C92DE478275F}"/>
    <hyperlink ref="B17" r:id="rId16" xr:uid="{EC1BB916-C153-49BF-A905-D43C566DAF0F}"/>
    <hyperlink ref="B18" r:id="rId17" xr:uid="{1DC303AA-A4D5-4ECB-9710-7476DEC89C3C}"/>
    <hyperlink ref="B19" r:id="rId18" xr:uid="{6A457ADB-2CA4-4C8F-8EA3-8B5D073139FA}"/>
    <hyperlink ref="B20" r:id="rId19" xr:uid="{F25791C2-E8C9-4945-A493-971780230A30}"/>
    <hyperlink ref="B21" r:id="rId20" location="positions" xr:uid="{7292D98B-4B53-447D-8C37-02BD870576FB}"/>
    <hyperlink ref="B22" r:id="rId21" xr:uid="{04C15FF3-C10A-4BD9-ABFC-971422C04CD7}"/>
    <hyperlink ref="B23" r:id="rId22" xr:uid="{20A904BA-CDBC-454A-A7BF-B8E17ABD6F67}"/>
    <hyperlink ref="B24" r:id="rId23" xr:uid="{0901291E-8133-4E99-95B1-546D94458BFC}"/>
    <hyperlink ref="B25" r:id="rId24" xr:uid="{9414BF4C-F0CF-48BD-A3DE-9BE7AC7CE67D}"/>
    <hyperlink ref="B26" r:id="rId25" xr:uid="{0C80F050-16E5-4D5B-BDAE-3CECA2709ECC}"/>
    <hyperlink ref="B27" r:id="rId26" xr:uid="{C553B785-10BC-41B5-901F-7D3FEACDEC46}"/>
    <hyperlink ref="B28" r:id="rId27" xr:uid="{58CE4D8A-C7C1-4D7F-969D-538C06183D84}"/>
    <hyperlink ref="B29" r:id="rId28" xr:uid="{A8379524-B353-49FF-AC4A-30C0E5FE2F58}"/>
    <hyperlink ref="B30" r:id="rId29" xr:uid="{BC4D31FA-2F86-4BCD-B86B-2264DC1C0D0C}"/>
    <hyperlink ref="B31" r:id="rId30" xr:uid="{9D3CA822-7068-4AB1-B2B4-8F54A4D86FD7}"/>
    <hyperlink ref="B32" r:id="rId31" xr:uid="{8DF3BE99-3E7F-41A3-AD94-00AD42F485C6}"/>
    <hyperlink ref="B33" r:id="rId32" xr:uid="{8403117E-C959-4D27-90AE-35B42BF4F304}"/>
    <hyperlink ref="B34" r:id="rId33" xr:uid="{ED7DE2E7-55BA-4C88-A611-E913E26D4546}"/>
    <hyperlink ref="B35" r:id="rId34" xr:uid="{2C02DF12-064B-49B9-8B03-87A8390BA97E}"/>
    <hyperlink ref="B36" r:id="rId35" xr:uid="{F40F6E5D-E2B3-47D9-B082-016CEED5AC35}"/>
    <hyperlink ref="B37" r:id="rId36" xr:uid="{948C752F-9C7B-4FEE-A97C-BB83F82AA023}"/>
    <hyperlink ref="B38" r:id="rId37" xr:uid="{3B7275F3-CC8F-4144-BDAB-3CC2F47A7B55}"/>
    <hyperlink ref="B39" r:id="rId38" xr:uid="{DE004235-7059-4B5B-AB3F-331357A9488D}"/>
    <hyperlink ref="B40" r:id="rId39" xr:uid="{BA6975E0-BFB7-467E-9778-387FD0DE409A}"/>
    <hyperlink ref="B41" r:id="rId40" xr:uid="{207F2CA1-643F-4174-B2E7-6F1560D2B3E8}"/>
  </hyperlinks>
  <pageMargins left="0.7" right="0.7" top="0.75" bottom="0.75" header="0.3" footer="0.3"/>
  <pageSetup orientation="portrait" horizontalDpi="1200" verticalDpi="1200" r:id="rId4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65DFD-8E66-4A4E-A6F2-22CD09C172ED}">
  <dimension ref="A1:E9"/>
  <sheetViews>
    <sheetView workbookViewId="0">
      <selection activeCell="B7" sqref="B7"/>
    </sheetView>
  </sheetViews>
  <sheetFormatPr defaultRowHeight="14.5" x14ac:dyDescent="0.35"/>
  <cols>
    <col min="1" max="1" width="30.08984375" style="22" customWidth="1"/>
    <col min="2" max="2" width="114.81640625" style="22" customWidth="1"/>
    <col min="3" max="3" width="13.1796875" bestFit="1" customWidth="1"/>
    <col min="4" max="4" width="19.7265625" style="22" customWidth="1"/>
  </cols>
  <sheetData>
    <row r="1" spans="1:5" x14ac:dyDescent="0.35">
      <c r="A1" s="22" t="s">
        <v>123</v>
      </c>
      <c r="B1" s="22" t="s">
        <v>124</v>
      </c>
      <c r="C1" t="s">
        <v>125</v>
      </c>
      <c r="D1" s="22" t="s">
        <v>141</v>
      </c>
      <c r="E1" t="s">
        <v>140</v>
      </c>
    </row>
    <row r="2" spans="1:5" ht="43.5" x14ac:dyDescent="0.35">
      <c r="A2" s="22" t="s">
        <v>122</v>
      </c>
      <c r="B2" s="24" t="s">
        <v>126</v>
      </c>
      <c r="C2" t="s">
        <v>127</v>
      </c>
      <c r="D2" s="22" t="s">
        <v>145</v>
      </c>
      <c r="E2" s="23"/>
    </row>
    <row r="3" spans="1:5" ht="32.5" x14ac:dyDescent="0.35">
      <c r="A3" s="22" t="s">
        <v>128</v>
      </c>
      <c r="B3" s="24" t="s">
        <v>129</v>
      </c>
      <c r="C3" t="s">
        <v>130</v>
      </c>
      <c r="D3" s="22" t="s">
        <v>142</v>
      </c>
      <c r="E3" s="23"/>
    </row>
    <row r="4" spans="1:5" ht="58" x14ac:dyDescent="0.35">
      <c r="A4" s="22" t="s">
        <v>131</v>
      </c>
      <c r="B4" s="24" t="s">
        <v>132</v>
      </c>
      <c r="C4" t="s">
        <v>133</v>
      </c>
      <c r="D4" s="22" t="s">
        <v>143</v>
      </c>
      <c r="E4" s="23"/>
    </row>
    <row r="5" spans="1:5" ht="43.5" x14ac:dyDescent="0.35">
      <c r="A5" s="22" t="s">
        <v>134</v>
      </c>
      <c r="B5" s="24" t="s">
        <v>135</v>
      </c>
      <c r="C5" t="s">
        <v>136</v>
      </c>
      <c r="D5" s="22" t="s">
        <v>144</v>
      </c>
      <c r="E5" s="23"/>
    </row>
    <row r="6" spans="1:5" ht="95.5" x14ac:dyDescent="0.35">
      <c r="A6" s="22" t="s">
        <v>137</v>
      </c>
      <c r="B6" s="24" t="s">
        <v>138</v>
      </c>
      <c r="C6" t="s">
        <v>139</v>
      </c>
      <c r="D6" s="22" t="s">
        <v>144</v>
      </c>
      <c r="E6" s="23"/>
    </row>
    <row r="7" spans="1:5" ht="53.5" x14ac:dyDescent="0.35">
      <c r="A7" s="22" t="s">
        <v>148</v>
      </c>
      <c r="B7" s="24" t="s">
        <v>147</v>
      </c>
      <c r="C7" t="s">
        <v>146</v>
      </c>
      <c r="D7" s="22" t="s">
        <v>154</v>
      </c>
      <c r="E7" s="23"/>
    </row>
    <row r="8" spans="1:5" ht="85" x14ac:dyDescent="0.35">
      <c r="A8" s="22" t="s">
        <v>150</v>
      </c>
      <c r="B8" s="24" t="s">
        <v>153</v>
      </c>
      <c r="C8" t="s">
        <v>149</v>
      </c>
      <c r="D8" s="22" t="s">
        <v>154</v>
      </c>
      <c r="E8" s="23"/>
    </row>
    <row r="9" spans="1:5" ht="85" x14ac:dyDescent="0.35">
      <c r="A9" s="22" t="s">
        <v>152</v>
      </c>
      <c r="B9" s="24" t="s">
        <v>151</v>
      </c>
      <c r="C9" t="s">
        <v>149</v>
      </c>
      <c r="D9" s="22" t="s">
        <v>154</v>
      </c>
      <c r="E9"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8C38-8093-481F-841A-834F90269DF5}">
  <dimension ref="A1:G41"/>
  <sheetViews>
    <sheetView tabSelected="1" workbookViewId="0">
      <selection activeCell="I19" sqref="I19"/>
    </sheetView>
  </sheetViews>
  <sheetFormatPr defaultRowHeight="14.5" x14ac:dyDescent="0.35"/>
  <cols>
    <col min="1" max="1" width="12.36328125" bestFit="1" customWidth="1"/>
    <col min="2" max="2" width="54.54296875" customWidth="1"/>
    <col min="4" max="4" width="11.6328125" bestFit="1" customWidth="1"/>
    <col min="5" max="5" width="8.54296875" bestFit="1" customWidth="1"/>
    <col min="6" max="6" width="5.26953125" bestFit="1" customWidth="1"/>
    <col min="7" max="7" width="10.81640625" bestFit="1" customWidth="1"/>
  </cols>
  <sheetData>
    <row r="1" spans="1:7" ht="15" thickBot="1" x14ac:dyDescent="0.4">
      <c r="A1" s="14" t="s">
        <v>0</v>
      </c>
      <c r="B1" s="15" t="s">
        <v>9</v>
      </c>
      <c r="C1" s="15" t="s">
        <v>1</v>
      </c>
      <c r="D1" s="15" t="s">
        <v>10</v>
      </c>
      <c r="E1" s="15" t="s">
        <v>2</v>
      </c>
      <c r="F1" s="15" t="s">
        <v>3</v>
      </c>
      <c r="G1" s="16" t="s">
        <v>11</v>
      </c>
    </row>
    <row r="2" spans="1:7" ht="15" thickBot="1" x14ac:dyDescent="0.4">
      <c r="A2" s="17"/>
      <c r="B2" s="17"/>
      <c r="C2" s="17"/>
      <c r="D2" s="17"/>
      <c r="E2" s="17"/>
      <c r="F2" s="17"/>
      <c r="G2" s="17"/>
    </row>
    <row r="3" spans="1:7" ht="15" thickBot="1" x14ac:dyDescent="0.4">
      <c r="A3" s="17"/>
      <c r="B3" s="17"/>
      <c r="C3" s="17"/>
      <c r="D3" s="17"/>
      <c r="E3" s="17"/>
      <c r="F3" s="17"/>
      <c r="G3" s="17"/>
    </row>
    <row r="4" spans="1:7" ht="15" thickBot="1" x14ac:dyDescent="0.4">
      <c r="A4" s="17"/>
      <c r="B4" s="17"/>
      <c r="C4" s="17"/>
      <c r="D4" s="17"/>
      <c r="E4" s="17"/>
      <c r="F4" s="17"/>
      <c r="G4" s="17"/>
    </row>
    <row r="5" spans="1:7" ht="15" thickBot="1" x14ac:dyDescent="0.4">
      <c r="A5" s="17"/>
      <c r="B5" s="17"/>
      <c r="C5" s="17"/>
      <c r="D5" s="17"/>
      <c r="E5" s="17"/>
      <c r="F5" s="17"/>
      <c r="G5" s="17"/>
    </row>
    <row r="6" spans="1:7" ht="15" thickBot="1" x14ac:dyDescent="0.4">
      <c r="A6" s="17"/>
      <c r="B6" s="17"/>
      <c r="C6" s="17"/>
      <c r="D6" s="17"/>
      <c r="E6" s="17"/>
      <c r="F6" s="17"/>
      <c r="G6" s="17"/>
    </row>
    <row r="7" spans="1:7" ht="15" thickBot="1" x14ac:dyDescent="0.4">
      <c r="A7" s="17"/>
      <c r="B7" s="17"/>
      <c r="C7" s="17"/>
      <c r="D7" s="17"/>
      <c r="E7" s="17"/>
      <c r="F7" s="17"/>
      <c r="G7" s="17"/>
    </row>
    <row r="8" spans="1:7" ht="15" thickBot="1" x14ac:dyDescent="0.4">
      <c r="A8" s="17"/>
      <c r="B8" s="17"/>
      <c r="C8" s="17"/>
      <c r="D8" s="17"/>
      <c r="E8" s="17"/>
      <c r="F8" s="17"/>
      <c r="G8" s="17"/>
    </row>
    <row r="9" spans="1:7" ht="15" thickBot="1" x14ac:dyDescent="0.4">
      <c r="A9" s="17"/>
      <c r="B9" s="17"/>
      <c r="C9" s="17"/>
      <c r="D9" s="17"/>
      <c r="E9" s="17"/>
      <c r="F9" s="17"/>
      <c r="G9" s="17"/>
    </row>
    <row r="10" spans="1:7" ht="15" thickBot="1" x14ac:dyDescent="0.4">
      <c r="A10" s="17"/>
      <c r="B10" s="17"/>
      <c r="C10" s="17"/>
      <c r="D10" s="17"/>
      <c r="E10" s="17"/>
      <c r="F10" s="17"/>
      <c r="G10" s="17"/>
    </row>
    <row r="11" spans="1:7" ht="15" thickBot="1" x14ac:dyDescent="0.4">
      <c r="A11" s="17"/>
      <c r="B11" s="17"/>
      <c r="C11" s="17"/>
      <c r="D11" s="17"/>
      <c r="E11" s="17"/>
      <c r="F11" s="17"/>
      <c r="G11" s="17"/>
    </row>
    <row r="12" spans="1:7" ht="15" thickBot="1" x14ac:dyDescent="0.4">
      <c r="A12" s="17"/>
      <c r="B12" s="17"/>
      <c r="C12" s="17"/>
      <c r="D12" s="17"/>
      <c r="E12" s="17"/>
      <c r="F12" s="17"/>
      <c r="G12" s="17"/>
    </row>
    <row r="13" spans="1:7" ht="15" thickBot="1" x14ac:dyDescent="0.4">
      <c r="A13" s="17"/>
      <c r="B13" s="17"/>
      <c r="C13" s="17"/>
      <c r="D13" s="17"/>
      <c r="E13" s="17"/>
      <c r="F13" s="17"/>
      <c r="G13" s="17"/>
    </row>
    <row r="14" spans="1:7" ht="15" thickBot="1" x14ac:dyDescent="0.4">
      <c r="A14" s="17"/>
      <c r="B14" s="17"/>
      <c r="C14" s="17"/>
      <c r="D14" s="17"/>
      <c r="E14" s="17"/>
      <c r="F14" s="17"/>
      <c r="G14" s="17"/>
    </row>
    <row r="15" spans="1:7" ht="15" thickBot="1" x14ac:dyDescent="0.4">
      <c r="A15" s="17"/>
      <c r="B15" s="17"/>
      <c r="C15" s="17"/>
      <c r="D15" s="17"/>
      <c r="E15" s="17"/>
      <c r="F15" s="17"/>
      <c r="G15" s="17"/>
    </row>
    <row r="16" spans="1:7" ht="15" thickBot="1" x14ac:dyDescent="0.4">
      <c r="A16" s="17"/>
      <c r="B16" s="17"/>
      <c r="C16" s="17"/>
      <c r="D16" s="17"/>
      <c r="E16" s="17"/>
      <c r="F16" s="17"/>
      <c r="G16" s="17"/>
    </row>
    <row r="17" spans="1:7" ht="15" thickBot="1" x14ac:dyDescent="0.4">
      <c r="A17" s="17"/>
      <c r="B17" s="17"/>
      <c r="C17" s="17"/>
      <c r="D17" s="17"/>
      <c r="E17" s="17"/>
      <c r="F17" s="17"/>
      <c r="G17" s="17"/>
    </row>
    <row r="18" spans="1:7" ht="15" thickBot="1" x14ac:dyDescent="0.4">
      <c r="A18" s="17"/>
      <c r="B18" s="17"/>
      <c r="C18" s="17"/>
      <c r="D18" s="17"/>
      <c r="E18" s="17"/>
      <c r="F18" s="17"/>
      <c r="G18" s="17"/>
    </row>
    <row r="19" spans="1:7" ht="15" thickBot="1" x14ac:dyDescent="0.4">
      <c r="A19" s="17"/>
      <c r="B19" s="17"/>
      <c r="C19" s="17"/>
      <c r="D19" s="17"/>
      <c r="E19" s="17"/>
      <c r="F19" s="17"/>
      <c r="G19" s="17"/>
    </row>
    <row r="20" spans="1:7" ht="15" thickBot="1" x14ac:dyDescent="0.4">
      <c r="A20" s="17"/>
      <c r="B20" s="17"/>
      <c r="C20" s="17"/>
      <c r="D20" s="17"/>
      <c r="E20" s="17"/>
      <c r="F20" s="17"/>
      <c r="G20" s="17"/>
    </row>
    <row r="21" spans="1:7" ht="15" thickBot="1" x14ac:dyDescent="0.4">
      <c r="A21" s="17"/>
      <c r="B21" s="17"/>
      <c r="C21" s="17"/>
      <c r="D21" s="17"/>
      <c r="E21" s="17"/>
      <c r="F21" s="17"/>
      <c r="G21" s="17"/>
    </row>
    <row r="22" spans="1:7" ht="15" thickBot="1" x14ac:dyDescent="0.4">
      <c r="A22" s="17"/>
      <c r="B22" s="17"/>
      <c r="C22" s="17"/>
      <c r="D22" s="17"/>
      <c r="E22" s="17"/>
      <c r="F22" s="17"/>
      <c r="G22" s="17"/>
    </row>
    <row r="23" spans="1:7" ht="15" thickBot="1" x14ac:dyDescent="0.4">
      <c r="A23" s="17"/>
      <c r="B23" s="17"/>
      <c r="C23" s="17"/>
      <c r="D23" s="17"/>
      <c r="E23" s="17"/>
      <c r="F23" s="17"/>
      <c r="G23" s="17"/>
    </row>
    <row r="24" spans="1:7" ht="15" thickBot="1" x14ac:dyDescent="0.4">
      <c r="A24" s="17"/>
      <c r="B24" s="17"/>
      <c r="C24" s="17"/>
      <c r="D24" s="17"/>
      <c r="E24" s="17"/>
      <c r="F24" s="17"/>
      <c r="G24" s="17"/>
    </row>
    <row r="25" spans="1:7" ht="15" thickBot="1" x14ac:dyDescent="0.4">
      <c r="A25" s="17"/>
      <c r="B25" s="17"/>
      <c r="C25" s="17"/>
      <c r="D25" s="17"/>
      <c r="E25" s="17"/>
      <c r="F25" s="17"/>
      <c r="G25" s="17"/>
    </row>
    <row r="26" spans="1:7" ht="15" thickBot="1" x14ac:dyDescent="0.4">
      <c r="A26" s="17"/>
      <c r="B26" s="17"/>
      <c r="C26" s="17"/>
      <c r="D26" s="17"/>
      <c r="E26" s="17"/>
      <c r="F26" s="17"/>
      <c r="G26" s="17"/>
    </row>
    <row r="27" spans="1:7" ht="15" thickBot="1" x14ac:dyDescent="0.4">
      <c r="A27" s="17"/>
      <c r="B27" s="17"/>
      <c r="C27" s="17"/>
      <c r="D27" s="17"/>
      <c r="E27" s="17"/>
      <c r="F27" s="17"/>
      <c r="G27" s="17"/>
    </row>
    <row r="28" spans="1:7" ht="15" thickBot="1" x14ac:dyDescent="0.4">
      <c r="A28" s="17"/>
      <c r="B28" s="17"/>
      <c r="C28" s="17"/>
      <c r="D28" s="17"/>
      <c r="E28" s="17"/>
      <c r="F28" s="17"/>
      <c r="G28" s="17"/>
    </row>
    <row r="29" spans="1:7" ht="15" thickBot="1" x14ac:dyDescent="0.4">
      <c r="A29" s="17"/>
      <c r="B29" s="17"/>
      <c r="C29" s="17"/>
      <c r="D29" s="17"/>
      <c r="E29" s="17"/>
      <c r="F29" s="17"/>
      <c r="G29" s="17"/>
    </row>
    <row r="30" spans="1:7" ht="15" thickBot="1" x14ac:dyDescent="0.4">
      <c r="A30" s="17"/>
      <c r="B30" s="17"/>
      <c r="C30" s="17"/>
      <c r="D30" s="17"/>
      <c r="E30" s="17"/>
      <c r="F30" s="17"/>
      <c r="G30" s="17"/>
    </row>
    <row r="31" spans="1:7" ht="15" thickBot="1" x14ac:dyDescent="0.4">
      <c r="A31" s="17"/>
      <c r="B31" s="17"/>
      <c r="C31" s="17"/>
      <c r="D31" s="17"/>
      <c r="E31" s="17"/>
      <c r="F31" s="17"/>
      <c r="G31" s="17"/>
    </row>
    <row r="32" spans="1:7" ht="15" thickBot="1" x14ac:dyDescent="0.4">
      <c r="A32" s="17"/>
      <c r="B32" s="17"/>
      <c r="C32" s="17"/>
      <c r="D32" s="17"/>
      <c r="E32" s="17"/>
      <c r="F32" s="17"/>
      <c r="G32" s="17"/>
    </row>
    <row r="33" spans="1:7" ht="15" thickBot="1" x14ac:dyDescent="0.4">
      <c r="A33" s="17"/>
      <c r="B33" s="17"/>
      <c r="C33" s="17"/>
      <c r="D33" s="17"/>
      <c r="E33" s="17"/>
      <c r="F33" s="17"/>
      <c r="G33" s="17"/>
    </row>
    <row r="34" spans="1:7" ht="15" thickBot="1" x14ac:dyDescent="0.4">
      <c r="A34" s="17"/>
      <c r="B34" s="17"/>
      <c r="C34" s="17"/>
      <c r="D34" s="17"/>
      <c r="E34" s="17"/>
      <c r="F34" s="17"/>
      <c r="G34" s="17"/>
    </row>
    <row r="35" spans="1:7" ht="15" thickBot="1" x14ac:dyDescent="0.4">
      <c r="A35" s="17"/>
      <c r="B35" s="17"/>
      <c r="C35" s="17"/>
      <c r="D35" s="17"/>
      <c r="E35" s="17"/>
      <c r="F35" s="17"/>
      <c r="G35" s="17"/>
    </row>
    <row r="36" spans="1:7" ht="15" thickBot="1" x14ac:dyDescent="0.4">
      <c r="A36" s="17"/>
      <c r="B36" s="17"/>
      <c r="C36" s="17"/>
      <c r="D36" s="17"/>
      <c r="E36" s="17"/>
      <c r="F36" s="17"/>
      <c r="G36" s="17"/>
    </row>
    <row r="37" spans="1:7" ht="15" thickBot="1" x14ac:dyDescent="0.4">
      <c r="A37" s="17"/>
      <c r="B37" s="17"/>
      <c r="C37" s="17"/>
      <c r="D37" s="17"/>
      <c r="E37" s="17"/>
      <c r="F37" s="17"/>
      <c r="G37" s="17"/>
    </row>
    <row r="38" spans="1:7" ht="15" thickBot="1" x14ac:dyDescent="0.4">
      <c r="A38" s="17"/>
      <c r="B38" s="17"/>
      <c r="C38" s="17"/>
      <c r="D38" s="17"/>
      <c r="E38" s="17"/>
      <c r="F38" s="17"/>
      <c r="G38" s="17"/>
    </row>
    <row r="39" spans="1:7" ht="15" thickBot="1" x14ac:dyDescent="0.4">
      <c r="A39" s="17"/>
      <c r="B39" s="17"/>
      <c r="C39" s="17"/>
      <c r="D39" s="17"/>
      <c r="E39" s="17"/>
      <c r="F39" s="17"/>
      <c r="G39" s="17"/>
    </row>
    <row r="40" spans="1:7" ht="15" thickBot="1" x14ac:dyDescent="0.4">
      <c r="A40" s="17"/>
      <c r="B40" s="17"/>
      <c r="C40" s="17"/>
      <c r="D40" s="17"/>
      <c r="E40" s="17"/>
      <c r="F40" s="17"/>
      <c r="G40" s="17"/>
    </row>
    <row r="41" spans="1:7" ht="15" thickBot="1" x14ac:dyDescent="0.4">
      <c r="A41" s="17"/>
      <c r="B41" s="17"/>
      <c r="C41" s="17"/>
      <c r="D41" s="17"/>
      <c r="E41" s="17"/>
      <c r="F41" s="17"/>
      <c r="G4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Fall-2025</vt:lpstr>
      <vt:lpstr>Spring-2026</vt:lpstr>
      <vt:lpstr>Summer-2026</vt:lpstr>
      <vt:lpstr>AFRL-Summer-2026</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Scott</dc:creator>
  <cp:lastModifiedBy>Scott Nguyen</cp:lastModifiedBy>
  <dcterms:created xsi:type="dcterms:W3CDTF">2025-07-12T21:49:07Z</dcterms:created>
  <dcterms:modified xsi:type="dcterms:W3CDTF">2026-05-22T04:45:46Z</dcterms:modified>
</cp:coreProperties>
</file>